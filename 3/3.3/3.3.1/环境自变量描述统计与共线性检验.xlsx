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4096f78d3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描述统计" sheetId="1" r:id="R96e9ddd7b9e64f76"/>
    <x:sheet xmlns:r="http://schemas.openxmlformats.org/officeDocument/2006/relationships" name="变量筛选" sheetId="2" r:id="Rcedf2afdb32b4aab"/>
    <x:sheet xmlns:r="http://schemas.openxmlformats.org/officeDocument/2006/relationships" name="相关性" sheetId="3" r:id="R4d076359408e4e56"/>
    <x:sheet xmlns:r="http://schemas.openxmlformats.org/officeDocument/2006/relationships" name="变量字典" sheetId="4" r:id="R335321dd4470420c"/>
    <x:sheet xmlns:r="http://schemas.openxmlformats.org/officeDocument/2006/relationships" name="原始数据" sheetId="5" r:id="R4df385f12d78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.00"/>
    <x:numFmt numFmtId="202" formatCode="0.0000E+00"/>
    <x:numFmt numFmtId="203" formatCode="0.000000"/>
    <x:numFmt numFmtId="204" formatCode="0.000"/>
    <x:numFmt numFmtId="205" formatCode="0.00000"/>
    <x:numFmt numFmtId="206" formatCode="0.00"/>
    <x:numFmt numFmtId="207" formatCode="0.00000000"/>
  </x:numFmts>
  <x:fonts count="5">
    <x:font>
      <x:sz val="11"/>
      <x:name val="Carlito"/>
    </x:font>
    <x:font>
      <x:sz val="10"/>
      <x:color rgb="FF182B39"/>
      <x:name val="Microsoft YaHei"/>
    </x:font>
    <x:font>
      <x:b/>
      <x:sz val="14"/>
      <x:color rgb="FF182B39"/>
      <x:name val="Microsoft YaHei"/>
    </x:font>
    <x:font>
      <x:b/>
      <x:sz val="10"/>
      <x:color rgb="FFFFFFFF"/>
      <x:name val="Microsoft YaHei"/>
    </x:font>
    <x:font>
      <x:b/>
      <x:sz val="12"/>
      <x:color rgb="FF182B39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3"/>
      </x:patternFill>
    </x:fill>
    <x:fill>
      <x:patternFill patternType="solid">
        <x:fgColor rgb="FFEEF2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CFD7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5" fontId="1" fillId="3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302D"/>
      </x:font>
      <x:fill>
        <x:patternFill patternType="solid">
          <x:bgColor rgb="FFFCE8E6"/>
        </x:patternFill>
      </x:fill>
    </x:dxf>
    <x:dxf>
      <x:font>
        <x:color rgb="FF8B5B0A"/>
      </x:font>
      <x:fill>
        <x:patternFill patternType="solid"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14fd3d3de4772" /><Relationship Type="http://schemas.openxmlformats.org/officeDocument/2006/relationships/theme" Target="/xl/theme/theme1.xml" Id="Ra04af20ecbf14551" /><Relationship Type="http://schemas.openxmlformats.org/officeDocument/2006/relationships/sharedStrings" Target="/xl/sharedStrings.xml" Id="R6f30fb00fe4842a3" /><Relationship Type="http://schemas.openxmlformats.org/officeDocument/2006/relationships/worksheet" Target="/xl/worksheets/sheet1.xml" Id="R96e9ddd7b9e64f76" /><Relationship Type="http://schemas.openxmlformats.org/officeDocument/2006/relationships/worksheet" Target="/xl/worksheets/sheet2.xml" Id="Rcedf2afdb32b4aab" /><Relationship Type="http://schemas.openxmlformats.org/officeDocument/2006/relationships/worksheet" Target="/xl/worksheets/sheet3.xml" Id="R4d076359408e4e56" /><Relationship Type="http://schemas.openxmlformats.org/officeDocument/2006/relationships/worksheet" Target="/xl/worksheets/sheet4.xml" Id="R335321dd4470420c" /><Relationship Type="http://schemas.openxmlformats.org/officeDocument/2006/relationships/worksheet" Target="/xl/worksheets/sheet5.xml" Id="R4df385f12d78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5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11" hidden="0" customWidth="1"/>
    <x:col min="3" max="3" width="12" hidden="0" customWidth="1"/>
    <x:col min="4" max="4" width="9" hidden="0" customWidth="1"/>
    <x:col min="5" max="5" width="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2" hidden="0" customWidth="1"/>
    <x:col min="15" max="15" width="17" hidden="0" customWidth="1"/>
    <x:col min="16" max="16" width="19" hidden="0" customWidth="1"/>
    <x:col min="17" max="17" width="18" hidden="0" customWidth="1"/>
    <x:col min="18" max="18" width="18" hidden="0" customWidth="1"/>
    <x:col min="19" max="19" width="17" hidden="0" customWidth="1"/>
    <x:col min="20" max="20" width="25" hidden="0" customWidth="1"/>
    <x:col min="21" max="21" width="9" hidden="0" customWidth="1"/>
    <x:col min="22" max="22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8" customHeight="1">
      <x:c r="A2" s="3" t="str">
        <x:v>环境自变量描述统计与共线性检验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38" customHeight="1">
      <x:c r="A4" s="5" t="str">
        <x:v>143 个样地；SZ 23 个，GQ 120 个。17 个数值变量无缺失；12 个筛选候选变量的最大 VIF 为 2.79。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变量名称</x:v>
      </x:c>
      <x:c r="B6" s="9" t="str">
        <x:v>缩写</x:v>
      </x:c>
      <x:c r="C6" s="9" t="str">
        <x:v>单位</x:v>
      </x:c>
      <x:c r="D6" s="9" t="str">
        <x:v>有效 n</x:v>
      </x:c>
      <x:c r="E6" s="9" t="str">
        <x:v>缺失 n</x:v>
      </x:c>
      <x:c r="F6" s="9" t="str">
        <x:v>最小值</x:v>
      </x:c>
      <x:c r="G6" s="9" t="str">
        <x:v>最大值</x:v>
      </x:c>
      <x:c r="H6" s="9" t="str">
        <x:v>均值</x:v>
      </x:c>
      <x:c r="I6" s="9" t="str">
        <x:v>标准差 SD</x:v>
      </x:c>
      <x:c r="J6" s="9" t="str">
        <x:v>中位数</x:v>
      </x:c>
      <x:c r="K6" s="9" t="str">
        <x:v>Q1</x:v>
      </x:c>
      <x:c r="L6" s="9" t="str">
        <x:v>Q3</x:v>
      </x:c>
      <x:c r="M6" s="9" t="str">
        <x:v>CV (%)</x:v>
      </x:c>
      <x:c r="N6" s="9" t="str">
        <x:v>唯一值数</x:v>
      </x:c>
      <x:c r="O6" s="9" t="str">
        <x:v>VIF 全17</x:v>
      </x:c>
      <x:c r="P6" s="9" t="str">
        <x:v>容忍度 全17</x:v>
      </x:c>
      <x:c r="Q6" s="9" t="str">
        <x:v>辅助 R² 全17</x:v>
      </x:c>
      <x:c r="R6" s="9" t="str">
        <x:v>VIF 无坐标15</x:v>
      </x:c>
      <x:c r="S6" s="9" t="str">
        <x:v>VIF 候选12</x:v>
      </x:c>
      <x:c r="T6" s="9" t="str">
        <x:v>筛选结果</x:v>
      </x:c>
      <x:c r="U6" s="9" t="str">
        <x:v>源列</x:v>
      </x:c>
      <x:c r="V6" s="9" t="str">
        <x:v>来源工作表</x:v>
      </x:c>
    </x:row>
    <x:row r="7" ht="24" customHeight="1">
      <x:c r="A7" s="2" t="str">
        <x:v>土壤容重</x:v>
      </x:c>
      <x:c r="B7" s="2" t="str">
        <x:v>BD</x:v>
      </x:c>
      <x:c r="C7" s="2" t="str">
        <x:v>g/cm³</x:v>
      </x:c>
      <x:c r="D7" s="22" t="n">
        <x:f>COUNT('原始数据'!C2:C144)</x:f>
        <x:v>143</x:v>
      </x:c>
      <x:c r="E7" s="22" t="n">
        <x:f>143-D7</x:f>
        <x:v>0</x:v>
      </x:c>
      <x:c r="F7" s="23" t="n">
        <x:f>MIN('原始数据'!C2:C144)</x:f>
        <x:v>0.328</x:v>
      </x:c>
      <x:c r="G7" s="23" t="n">
        <x:f>MAX('原始数据'!C2:C144)</x:f>
        <x:v>1.284</x:v>
      </x:c>
      <x:c r="H7" s="23" t="n">
        <x:f>AVERAGE('原始数据'!C2:C144)</x:f>
        <x:v>0.648895104895105</x:v>
      </x:c>
      <x:c r="I7" s="23" t="n">
        <x:f>STDEV('原始数据'!C2:C144)</x:f>
        <x:v>0.18896697353914851</x:v>
      </x:c>
      <x:c r="J7" s="23" t="n">
        <x:f>MEDIAN('原始数据'!C2:C144)</x:f>
        <x:v>0.613</x:v>
      </x:c>
      <x:c r="K7" s="23" t="n">
        <x:f>PERCENTILE('原始数据'!C2:C144,0.25)</x:f>
        <x:v>0.508</x:v>
      </x:c>
      <x:c r="L7" s="23" t="n">
        <x:f>PERCENTILE('原始数据'!C2:C144,0.75)</x:f>
        <x:v>0.734</x:v>
      </x:c>
      <x:c r="M7" s="24" t="n">
        <x:f>I7/ABS(H7)*100</x:f>
        <x:v>29.121343667663407</x:v>
      </x:c>
      <x:c r="N7" s="22" t="n">
        <x:v>125</x:v>
      </x:c>
      <x:c r="O7" s="24" t="n">
        <x:v>666077.9420395098</x:v>
      </x:c>
      <x:c r="P7" s="25" t="n">
        <x:v>0.0000015013258012088366</x:v>
      </x:c>
      <x:c r="Q7" s="26" t="n">
        <x:v>0.9999984986741988</x:v>
      </x:c>
      <x:c r="R7" s="24" t="n">
        <x:v>664366.1508638746</x:v>
      </x:c>
      <x:c r="S7" s="24" t="str">
        <x:v>—</x:v>
      </x:c>
      <x:c r="T7" s="2" t="str">
        <x:v>本轮移除</x:v>
      </x:c>
      <x:c r="U7" s="2" t="str">
        <x:v>C</x:v>
      </x:c>
      <x:c r="V7" s="2" t="str">
        <x:v>土壤物理</x:v>
      </x:c>
    </x:row>
    <x:row r="8" ht="24" customHeight="1">
      <x:c r="A8" s="10" t="str">
        <x:v>土壤孔隙度</x:v>
      </x:c>
      <x:c r="B8" s="10" t="str">
        <x:v>POR</x:v>
      </x:c>
      <x:c r="C8" s="10" t="str">
        <x:v>%</x:v>
      </x:c>
      <x:c r="D8" s="27" t="n">
        <x:f>COUNT('原始数据'!D2:D144)</x:f>
        <x:v>143</x:v>
      </x:c>
      <x:c r="E8" s="27" t="n">
        <x:f>143-D8</x:f>
        <x:v>0</x:v>
      </x:c>
      <x:c r="F8" s="28" t="n">
        <x:f>MIN('原始数据'!D2:D144)</x:f>
        <x:v>51.55</x:v>
      </x:c>
      <x:c r="G8" s="28" t="n">
        <x:f>MAX('原始数据'!D2:D144)</x:f>
        <x:v>87.62</x:v>
      </x:c>
      <x:c r="H8" s="28" t="n">
        <x:f>AVERAGE('原始数据'!D2:D144)</x:f>
        <x:v>75.51328671328673</x:v>
      </x:c>
      <x:c r="I8" s="28" t="n">
        <x:f>STDEV('原始数据'!D2:D144)</x:f>
        <x:v>7.131998591571252</x:v>
      </x:c>
      <x:c r="J8" s="28" t="n">
        <x:f>MEDIAN('原始数据'!D2:D144)</x:f>
        <x:v>76.86</x:v>
      </x:c>
      <x:c r="K8" s="28" t="n">
        <x:f>PERCENTILE('原始数据'!D2:D144,0.25)</x:f>
        <x:v>72.305</x:v>
      </x:c>
      <x:c r="L8" s="28" t="n">
        <x:f>PERCENTILE('原始数据'!D2:D144,0.75)</x:f>
        <x:v>80.83</x:v>
      </x:c>
      <x:c r="M8" s="28" t="n">
        <x:f>I8/ABS(H8)*100</x:f>
        <x:v>9.444693645305682</x:v>
      </x:c>
      <x:c r="N8" s="27" t="n">
        <x:v>136</x:v>
      </x:c>
      <x:c r="O8" s="28" t="n">
        <x:v>665989.9349790032</x:v>
      </x:c>
      <x:c r="P8" s="29" t="n">
        <x:v>0.0000015015241935023047</x:v>
      </x:c>
      <x:c r="Q8" s="30" t="n">
        <x:v>0.9999984984758065</x:v>
      </x:c>
      <x:c r="R8" s="28" t="n">
        <x:v>664283.0885569694</x:v>
      </x:c>
      <x:c r="S8" s="28" t="str">
        <x:v>—</x:v>
      </x:c>
      <x:c r="T8" s="10" t="str">
        <x:v>本轮移除</x:v>
      </x:c>
      <x:c r="U8" s="10" t="str">
        <x:v>D</x:v>
      </x:c>
      <x:c r="V8" s="10" t="str">
        <x:v>土壤物理</x:v>
      </x:c>
    </x:row>
    <x:row r="9" ht="24" customHeight="1">
      <x:c r="A9" s="2" t="str">
        <x:v>土壤含水率</x:v>
      </x:c>
      <x:c r="B9" s="2" t="str">
        <x:v>SWC</x:v>
      </x:c>
      <x:c r="C9" s="2" t="str">
        <x:v>%</x:v>
      </x:c>
      <x:c r="D9" s="22" t="n">
        <x:f>COUNT('原始数据'!E2:E144)</x:f>
        <x:v>143</x:v>
      </x:c>
      <x:c r="E9" s="22" t="n">
        <x:f>143-D9</x:f>
        <x:v>0</x:v>
      </x:c>
      <x:c r="F9" s="24" t="n">
        <x:f>MIN('原始数据'!E2:E144)</x:f>
        <x:v>35.74</x:v>
      </x:c>
      <x:c r="G9" s="24" t="n">
        <x:f>MAX('原始数据'!E2:E144)</x:f>
        <x:v>225.8</x:v>
      </x:c>
      <x:c r="H9" s="24" t="n">
        <x:f>AVERAGE('原始数据'!E2:E144)</x:f>
        <x:v>122.04195804195801</x:v>
      </x:c>
      <x:c r="I9" s="24" t="n">
        <x:f>STDEV('原始数据'!E2:E144)</x:f>
        <x:v>37.68262732046262</x:v>
      </x:c>
      <x:c r="J9" s="24" t="n">
        <x:f>MEDIAN('原始数据'!E2:E144)</x:f>
        <x:v>126.9</x:v>
      </x:c>
      <x:c r="K9" s="24" t="n">
        <x:f>PERCENTILE('原始数据'!E2:E144,0.25)</x:f>
        <x:v>97.015</x:v>
      </x:c>
      <x:c r="L9" s="24" t="n">
        <x:f>PERCENTILE('原始数据'!E2:E144,0.75)</x:f>
        <x:v>149.015</x:v>
      </x:c>
      <x:c r="M9" s="24" t="n">
        <x:f>I9/ABS(H9)*100</x:f>
        <x:v>30.876780350826017</x:v>
      </x:c>
      <x:c r="N9" s="22" t="n">
        <x:v>143</x:v>
      </x:c>
      <x:c r="O9" s="24" t="n">
        <x:v>6.886577299340625</x:v>
      </x:c>
      <x:c r="P9" s="25" t="n">
        <x:v>0.14521001602577638</x:v>
      </x:c>
      <x:c r="Q9" s="26" t="n">
        <x:v>0.8547899839742237</x:v>
      </x:c>
      <x:c r="R9" s="24" t="n">
        <x:v>6.718981552507933</x:v>
      </x:c>
      <x:c r="S9" s="24" t="n">
        <x:v>1.532623436879432</x:v>
      </x:c>
      <x:c r="T9" s="2" t="str">
        <x:v>候选保留</x:v>
      </x:c>
      <x:c r="U9" s="2" t="str">
        <x:v>E</x:v>
      </x:c>
      <x:c r="V9" s="2" t="str">
        <x:v>土壤物理</x:v>
      </x:c>
    </x:row>
    <x:row r="10" ht="24" customHeight="1">
      <x:c r="A10" s="10" t="str">
        <x:v>采样点中心纬度</x:v>
      </x:c>
      <x:c r="B10" s="10" t="str">
        <x:v>LAT</x:v>
      </x:c>
      <x:c r="C10" s="10" t="str">
        <x:v>°</x:v>
      </x:c>
      <x:c r="D10" s="27" t="n">
        <x:f>COUNT('原始数据'!F2:F144)</x:f>
        <x:v>143</x:v>
      </x:c>
      <x:c r="E10" s="27" t="n">
        <x:f>143-D10</x:f>
        <x:v>0</x:v>
      </x:c>
      <x:c r="F10" s="31" t="n">
        <x:f>MIN('原始数据'!F2:F144)</x:f>
        <x:v>21.440248265</x:v>
      </x:c>
      <x:c r="G10" s="31" t="n">
        <x:f>MAX('原始数据'!F2:F144)</x:f>
        <x:v>22.52866688</x:v>
      </x:c>
      <x:c r="H10" s="31" t="n">
        <x:f>AVERAGE('原始数据'!F2:F144)</x:f>
        <x:v>21.717737376412632</x:v>
      </x:c>
      <x:c r="I10" s="31" t="n">
        <x:f>STDEV('原始数据'!F2:F144)</x:f>
        <x:v>0.36174115807764645</x:v>
      </x:c>
      <x:c r="J10" s="31" t="n">
        <x:f>MEDIAN('原始数据'!F2:F144)</x:f>
        <x:v>21.5696978130001</x:v>
      </x:c>
      <x:c r="K10" s="31" t="n">
        <x:f>PERCENTILE('原始数据'!F2:F144,0.25)</x:f>
        <x:v>21.52075638850005</x:v>
      </x:c>
      <x:c r="L10" s="31" t="n">
        <x:f>PERCENTILE('原始数据'!F2:F144,0.75)</x:f>
        <x:v>21.6883042990001</x:v>
      </x:c>
      <x:c r="M10" s="28" t="str">
        <x:v>—</x:v>
      </x:c>
      <x:c r="N10" s="27" t="n">
        <x:v>143</x:v>
      </x:c>
      <x:c r="O10" s="28" t="n">
        <x:v>76.71513439368341</x:v>
      </x:c>
      <x:c r="P10" s="29" t="n">
        <x:v>0.013035237543458415</x:v>
      </x:c>
      <x:c r="Q10" s="30" t="n">
        <x:v>0.9869647624565416</x:v>
      </x:c>
      <x:c r="R10" s="28" t="str">
        <x:v>—</x:v>
      </x:c>
      <x:c r="S10" s="28" t="str">
        <x:v>—</x:v>
      </x:c>
      <x:c r="T10" s="10" t="str">
        <x:v>空间维度另行处理</x:v>
      </x:c>
      <x:c r="U10" s="10" t="str">
        <x:v>F</x:v>
      </x:c>
      <x:c r="V10" s="10" t="str">
        <x:v>空间位置</x:v>
      </x:c>
    </x:row>
    <x:row r="11" ht="24" customHeight="1">
      <x:c r="A11" s="2" t="str">
        <x:v>采样点中心经度</x:v>
      </x:c>
      <x:c r="B11" s="2" t="str">
        <x:v>LON</x:v>
      </x:c>
      <x:c r="C11" s="2" t="str">
        <x:v>°</x:v>
      </x:c>
      <x:c r="D11" s="22" t="n">
        <x:f>COUNT('原始数据'!G2:G144)</x:f>
        <x:v>143</x:v>
      </x:c>
      <x:c r="E11" s="22" t="n">
        <x:f>143-D11</x:f>
        <x:v>0</x:v>
      </x:c>
      <x:c r="F11" s="32" t="n">
        <x:f>MIN('原始数据'!G2:G144)</x:f>
        <x:v>109.520823569</x:v>
      </x:c>
      <x:c r="G11" s="32" t="n">
        <x:f>MAX('原始数据'!G2:G144)</x:f>
        <x:v>114.0186844</x:v>
      </x:c>
      <x:c r="H11" s="32" t="n">
        <x:f>AVERAGE('原始数据'!G2:G144)</x:f>
        <x:v>110.4214386646154</x:v>
      </x:c>
      <x:c r="I11" s="32" t="n">
        <x:f>STDEV('原始数据'!G2:G144)</x:f>
        <x:v>1.5817132408835075</x:v>
      </x:c>
      <x:c r="J11" s="32" t="n">
        <x:f>MEDIAN('原始数据'!G2:G144)</x:f>
        <x:v>109.763544765</x:v>
      </x:c>
      <x:c r="K11" s="32" t="n">
        <x:f>PERCENTILE('原始数据'!G2:G144,0.25)</x:f>
        <x:v>109.6618538395</x:v>
      </x:c>
      <x:c r="L11" s="32" t="n">
        <x:f>PERCENTILE('原始数据'!G2:G144,0.75)</x:f>
        <x:v>109.9185374535</x:v>
      </x:c>
      <x:c r="M11" s="24" t="str">
        <x:v>—</x:v>
      </x:c>
      <x:c r="N11" s="22" t="n">
        <x:v>143</x:v>
      </x:c>
      <x:c r="O11" s="24" t="n">
        <x:v>110.09382359886716</x:v>
      </x:c>
      <x:c r="P11" s="25" t="n">
        <x:v>0.00908316168256227</x:v>
      </x:c>
      <x:c r="Q11" s="26" t="n">
        <x:v>0.9909168383174377</x:v>
      </x:c>
      <x:c r="R11" s="24" t="str">
        <x:v>—</x:v>
      </x:c>
      <x:c r="S11" s="24" t="str">
        <x:v>—</x:v>
      </x:c>
      <x:c r="T11" s="2" t="str">
        <x:v>空间维度另行处理</x:v>
      </x:c>
      <x:c r="U11" s="2" t="str">
        <x:v>G</x:v>
      </x:c>
      <x:c r="V11" s="2" t="str">
        <x:v>空间位置</x:v>
      </x:c>
    </x:row>
    <x:row r="12" ht="24" customHeight="1">
      <x:c r="A12" s="10" t="str">
        <x:v>盐度</x:v>
      </x:c>
      <x:c r="B12" s="10" t="str">
        <x:v>SAL</x:v>
      </x:c>
      <x:c r="C12" s="10" t="str">
        <x:v>ppt</x:v>
      </x:c>
      <x:c r="D12" s="27" t="n">
        <x:f>COUNT('原始数据'!H2:H144)</x:f>
        <x:v>143</x:v>
      </x:c>
      <x:c r="E12" s="27" t="n">
        <x:f>143-D12</x:f>
        <x:v>0</x:v>
      </x:c>
      <x:c r="F12" s="28" t="n">
        <x:f>MIN('原始数据'!H2:H144)</x:f>
        <x:v>11</x:v>
      </x:c>
      <x:c r="G12" s="28" t="n">
        <x:f>MAX('原始数据'!H2:H144)</x:f>
        <x:v>35</x:v>
      </x:c>
      <x:c r="H12" s="28" t="n">
        <x:f>AVERAGE('原始数据'!H2:H144)</x:f>
        <x:v>23.734265734265733</x:v>
      </x:c>
      <x:c r="I12" s="28" t="n">
        <x:f>STDEV('原始数据'!H2:H144)</x:f>
        <x:v>5.335175656058636</x:v>
      </x:c>
      <x:c r="J12" s="28" t="n">
        <x:f>MEDIAN('原始数据'!H2:H144)</x:f>
        <x:v>25</x:v>
      </x:c>
      <x:c r="K12" s="28" t="n">
        <x:f>PERCENTILE('原始数据'!H2:H144,0.25)</x:f>
        <x:v>20</x:v>
      </x:c>
      <x:c r="L12" s="28" t="n">
        <x:f>PERCENTILE('原始数据'!H2:H144,0.75)</x:f>
        <x:v>27</x:v>
      </x:c>
      <x:c r="M12" s="28" t="n">
        <x:f>I12/ABS(H12)*100</x:f>
        <x:v>22.478789593882883</x:v>
      </x:c>
      <x:c r="N12" s="27" t="n">
        <x:v>23</x:v>
      </x:c>
      <x:c r="O12" s="28" t="n">
        <x:v>2.6986632977792495</x:v>
      </x:c>
      <x:c r="P12" s="29" t="n">
        <x:v>0.3705538222656037</x:v>
      </x:c>
      <x:c r="Q12" s="30" t="n">
        <x:v>0.6294461777343963</x:v>
      </x:c>
      <x:c r="R12" s="28" t="n">
        <x:v>2.561280962464292</x:v>
      </x:c>
      <x:c r="S12" s="28" t="n">
        <x:v>2.4803055655001183</x:v>
      </x:c>
      <x:c r="T12" s="10" t="str">
        <x:v>候选保留</x:v>
      </x:c>
      <x:c r="U12" s="10" t="str">
        <x:v>H</x:v>
      </x:c>
      <x:c r="V12" s="10" t="str">
        <x:v>土壤化学</x:v>
      </x:c>
    </x:row>
    <x:row r="13" ht="24" customHeight="1">
      <x:c r="A13" s="2" t="str">
        <x:v>酸碱度</x:v>
      </x:c>
      <x:c r="B13" s="2" t="str">
        <x:v>pH</x:v>
      </x:c>
      <x:c r="C13" s="2" t="str">
        <x:v>无量纲</x:v>
      </x:c>
      <x:c r="D13" s="22" t="n">
        <x:f>COUNT('原始数据'!I2:I144)</x:f>
        <x:v>143</x:v>
      </x:c>
      <x:c r="E13" s="22" t="n">
        <x:f>143-D13</x:f>
        <x:v>0</x:v>
      </x:c>
      <x:c r="F13" s="24" t="n">
        <x:f>MIN('原始数据'!I2:I144)</x:f>
        <x:v>5.66</x:v>
      </x:c>
      <x:c r="G13" s="24" t="n">
        <x:f>MAX('原始数据'!I2:I144)</x:f>
        <x:v>7.77</x:v>
      </x:c>
      <x:c r="H13" s="24" t="n">
        <x:f>AVERAGE('原始数据'!I2:I144)</x:f>
        <x:v>6.460909090909092</x:v>
      </x:c>
      <x:c r="I13" s="24" t="n">
        <x:f>STDEV('原始数据'!I2:I144)</x:f>
        <x:v>0.2843621701106052</x:v>
      </x:c>
      <x:c r="J13" s="24" t="n">
        <x:f>MEDIAN('原始数据'!I2:I144)</x:f>
        <x:v>6.42</x:v>
      </x:c>
      <x:c r="K13" s="24" t="n">
        <x:f>PERCENTILE('原始数据'!I2:I144,0.25)</x:f>
        <x:v>6.3</x:v>
      </x:c>
      <x:c r="L13" s="24" t="n">
        <x:f>PERCENTILE('原始数据'!I2:I144,0.75)</x:f>
        <x:v>6.605</x:v>
      </x:c>
      <x:c r="M13" s="24" t="str">
        <x:v>—</x:v>
      </x:c>
      <x:c r="N13" s="22" t="n">
        <x:v>78</x:v>
      </x:c>
      <x:c r="O13" s="24" t="n">
        <x:v>1.3535462172386195</x:v>
      </x:c>
      <x:c r="P13" s="25" t="n">
        <x:v>0.7388000404153972</x:v>
      </x:c>
      <x:c r="Q13" s="26" t="n">
        <x:v>0.26119995958460285</x:v>
      </x:c>
      <x:c r="R13" s="24" t="n">
        <x:v>1.3360953695983633</x:v>
      </x:c>
      <x:c r="S13" s="24" t="n">
        <x:v>1.2590462738656363</x:v>
      </x:c>
      <x:c r="T13" s="2" t="str">
        <x:v>候选保留</x:v>
      </x:c>
      <x:c r="U13" s="2" t="str">
        <x:v>I</x:v>
      </x:c>
      <x:c r="V13" s="2" t="str">
        <x:v>土壤化学</x:v>
      </x:c>
    </x:row>
    <x:row r="14" ht="24" customHeight="1">
      <x:c r="A14" s="10" t="str">
        <x:v>C:N 比</x:v>
      </x:c>
      <x:c r="B14" s="10" t="str">
        <x:v>CN</x:v>
      </x:c>
      <x:c r="C14" s="10" t="str">
        <x:v>无量纲</x:v>
      </x:c>
      <x:c r="D14" s="27" t="n">
        <x:f>COUNT('原始数据'!J2:J144)</x:f>
        <x:v>143</x:v>
      </x:c>
      <x:c r="E14" s="27" t="n">
        <x:f>143-D14</x:f>
        <x:v>0</x:v>
      </x:c>
      <x:c r="F14" s="28" t="n">
        <x:f>MIN('原始数据'!J2:J144)</x:f>
        <x:v>13.22</x:v>
      </x:c>
      <x:c r="G14" s="28" t="n">
        <x:f>MAX('原始数据'!J2:J144)</x:f>
        <x:v>28.2</x:v>
      </x:c>
      <x:c r="H14" s="28" t="n">
        <x:f>AVERAGE('原始数据'!J2:J144)</x:f>
        <x:v>19.114545454545453</x:v>
      </x:c>
      <x:c r="I14" s="28" t="n">
        <x:f>STDEV('原始数据'!J2:J144)</x:f>
        <x:v>3.009818142293633</x:v>
      </x:c>
      <x:c r="J14" s="28" t="n">
        <x:f>MEDIAN('原始数据'!J2:J144)</x:f>
        <x:v>18.98</x:v>
      </x:c>
      <x:c r="K14" s="28" t="n">
        <x:f>PERCENTILE('原始数据'!J2:J144,0.25)</x:f>
        <x:v>17.135</x:v>
      </x:c>
      <x:c r="L14" s="28" t="n">
        <x:f>PERCENTILE('原始数据'!J2:J144,0.75)</x:f>
        <x:v>21.14</x:v>
      </x:c>
      <x:c r="M14" s="28" t="n">
        <x:f>I14/ABS(H14)*100</x:f>
        <x:v>15.746218760215907</x:v>
      </x:c>
      <x:c r="N14" s="27" t="n">
        <x:v>137</x:v>
      </x:c>
      <x:c r="O14" s="28" t="n">
        <x:v>8.97239577113786</x:v>
      </x:c>
      <x:c r="P14" s="29" t="n">
        <x:v>0.11145295253434659</x:v>
      </x:c>
      <x:c r="Q14" s="30" t="n">
        <x:v>0.8885470474656534</x:v>
      </x:c>
      <x:c r="R14" s="28" t="n">
        <x:v>8.8755970069605</x:v>
      </x:c>
      <x:c r="S14" s="28" t="n">
        <x:v>1.4633954612223488</x:v>
      </x:c>
      <x:c r="T14" s="10" t="str">
        <x:v>候选保留</x:v>
      </x:c>
      <x:c r="U14" s="10" t="str">
        <x:v>J</x:v>
      </x:c>
      <x:c r="V14" s="10" t="str">
        <x:v>化学计量</x:v>
      </x:c>
    </x:row>
    <x:row r="15" ht="24" customHeight="1">
      <x:c r="A15" s="2" t="str">
        <x:v>C:P 比</x:v>
      </x:c>
      <x:c r="B15" s="2" t="str">
        <x:v>CP</x:v>
      </x:c>
      <x:c r="C15" s="2" t="str">
        <x:v>无量纲</x:v>
      </x:c>
      <x:c r="D15" s="22" t="n">
        <x:f>COUNT('原始数据'!K2:K144)</x:f>
        <x:v>143</x:v>
      </x:c>
      <x:c r="E15" s="22" t="n">
        <x:f>143-D15</x:f>
        <x:v>0</x:v>
      </x:c>
      <x:c r="F15" s="24" t="n">
        <x:f>MIN('原始数据'!K2:K144)</x:f>
        <x:v>22.42</x:v>
      </x:c>
      <x:c r="G15" s="24" t="n">
        <x:f>MAX('原始数据'!K2:K144)</x:f>
        <x:v>195.21</x:v>
      </x:c>
      <x:c r="H15" s="24" t="n">
        <x:f>AVERAGE('原始数据'!K2:K144)</x:f>
        <x:v>63.75755244755245</x:v>
      </x:c>
      <x:c r="I15" s="24" t="n">
        <x:f>STDEV('原始数据'!K2:K144)</x:f>
        <x:v>30.651804790665214</x:v>
      </x:c>
      <x:c r="J15" s="24" t="n">
        <x:f>MEDIAN('原始数据'!K2:K144)</x:f>
        <x:v>56.37</x:v>
      </x:c>
      <x:c r="K15" s="24" t="n">
        <x:f>PERCENTILE('原始数据'!K2:K144,0.25)</x:f>
        <x:v>40.815</x:v>
      </x:c>
      <x:c r="L15" s="24" t="n">
        <x:f>PERCENTILE('原始数据'!K2:K144,0.75)</x:f>
        <x:v>77.72</x:v>
      </x:c>
      <x:c r="M15" s="24" t="n">
        <x:f>I15/ABS(H15)*100</x:f>
        <x:v>48.075566915589604</x:v>
      </x:c>
      <x:c r="N15" s="22" t="n">
        <x:v>142</x:v>
      </x:c>
      <x:c r="O15" s="24" t="n">
        <x:v>70.95942684825152</x:v>
      </x:c>
      <x:c r="P15" s="25" t="n">
        <x:v>0.014092560275867569</x:v>
      </x:c>
      <x:c r="Q15" s="26" t="n">
        <x:v>0.9859074397241324</x:v>
      </x:c>
      <x:c r="R15" s="24" t="n">
        <x:v>69.61256468859717</x:v>
      </x:c>
      <x:c r="S15" s="24" t="str">
        <x:v>—</x:v>
      </x:c>
      <x:c r="T15" s="2" t="str">
        <x:v>本轮移除</x:v>
      </x:c>
      <x:c r="U15" s="2" t="str">
        <x:v>K</x:v>
      </x:c>
      <x:c r="V15" s="2" t="str">
        <x:v>化学计量</x:v>
      </x:c>
    </x:row>
    <x:row r="16" ht="24" customHeight="1">
      <x:c r="A16" s="10" t="str">
        <x:v>N:P 比</x:v>
      </x:c>
      <x:c r="B16" s="10" t="str">
        <x:v>NP</x:v>
      </x:c>
      <x:c r="C16" s="10" t="str">
        <x:v>无量纲</x:v>
      </x:c>
      <x:c r="D16" s="27" t="n">
        <x:f>COUNT('原始数据'!L2:L144)</x:f>
        <x:v>143</x:v>
      </x:c>
      <x:c r="E16" s="27" t="n">
        <x:f>143-D16</x:f>
        <x:v>0</x:v>
      </x:c>
      <x:c r="F16" s="28" t="n">
        <x:f>MIN('原始数据'!L2:L144)</x:f>
        <x:v>1.58</x:v>
      </x:c>
      <x:c r="G16" s="28" t="n">
        <x:f>MAX('原始数据'!L2:L144)</x:f>
        <x:v>10.07</x:v>
      </x:c>
      <x:c r="H16" s="28" t="n">
        <x:f>AVERAGE('原始数据'!L2:L144)</x:f>
        <x:v>3.254195804195806</x:v>
      </x:c>
      <x:c r="I16" s="28" t="n">
        <x:f>STDEV('原始数据'!L2:L144)</x:f>
        <x:v>1.3111404629189805</x:v>
      </x:c>
      <x:c r="J16" s="28" t="n">
        <x:f>MEDIAN('原始数据'!L2:L144)</x:f>
        <x:v>2.95</x:v>
      </x:c>
      <x:c r="K16" s="28" t="n">
        <x:f>PERCENTILE('原始数据'!L2:L144,0.25)</x:f>
        <x:v>2.36</x:v>
      </x:c>
      <x:c r="L16" s="28" t="n">
        <x:f>PERCENTILE('原始数据'!L2:L144,0.75)</x:f>
        <x:v>3.695</x:v>
      </x:c>
      <x:c r="M16" s="28" t="n">
        <x:f>I16/ABS(H16)*100</x:f>
        <x:v>40.290767421814564</x:v>
      </x:c>
      <x:c r="N16" s="27" t="n">
        <x:v>110</x:v>
      </x:c>
      <x:c r="O16" s="28" t="n">
        <x:v>51.4956950848738</x:v>
      </x:c>
      <x:c r="P16" s="29" t="n">
        <x:v>0.019419098981998926</x:v>
      </x:c>
      <x:c r="Q16" s="30" t="n">
        <x:v>0.9805809010180011</x:v>
      </x:c>
      <x:c r="R16" s="28" t="n">
        <x:v>50.39765491965844</x:v>
      </x:c>
      <x:c r="S16" s="28" t="n">
        <x:v>1.7938111064438274</x:v>
      </x:c>
      <x:c r="T16" s="10" t="str">
        <x:v>候选保留</x:v>
      </x:c>
      <x:c r="U16" s="10" t="str">
        <x:v>L</x:v>
      </x:c>
      <x:c r="V16" s="10" t="str">
        <x:v>化学计量</x:v>
      </x:c>
    </x:row>
    <x:row r="17" ht="24" customHeight="1">
      <x:c r="A17" s="2" t="str">
        <x:v>植物组织碳含量</x:v>
      </x:c>
      <x:c r="B17" s="2" t="str">
        <x:v>SOC</x:v>
      </x:c>
      <x:c r="C17" s="2" t="str">
        <x:v>g/kg</x:v>
      </x:c>
      <x:c r="D17" s="22" t="n">
        <x:f>COUNT('原始数据'!M2:M144)</x:f>
        <x:v>143</x:v>
      </x:c>
      <x:c r="E17" s="22" t="n">
        <x:f>143-D17</x:f>
        <x:v>0</x:v>
      </x:c>
      <x:c r="F17" s="24" t="n">
        <x:f>MIN('原始数据'!M2:M144)</x:f>
        <x:v>405.983193277311</x:v>
      </x:c>
      <x:c r="G17" s="24" t="n">
        <x:f>MAX('原始数据'!M2:M144)</x:f>
        <x:v>527.6998419901145</x:v>
      </x:c>
      <x:c r="H17" s="24" t="n">
        <x:f>AVERAGE('原始数据'!M2:M144)</x:f>
        <x:v>470.7922982918126</x:v>
      </x:c>
      <x:c r="I17" s="24" t="n">
        <x:f>STDEV('原始数据'!M2:M144)</x:f>
        <x:v>29.213221352581872</x:v>
      </x:c>
      <x:c r="J17" s="24" t="n">
        <x:f>MEDIAN('原始数据'!M2:M144)</x:f>
        <x:v>475.53248322800255</x:v>
      </x:c>
      <x:c r="K17" s="24" t="n">
        <x:f>PERCENTILE('原始数据'!M2:M144,0.25)</x:f>
        <x:v>449.80813089247874</x:v>
      </x:c>
      <x:c r="L17" s="24" t="n">
        <x:f>PERCENTILE('原始数据'!M2:M144,0.75)</x:f>
        <x:v>495.20984916390773</x:v>
      </x:c>
      <x:c r="M17" s="24" t="n">
        <x:f>I17/ABS(H17)*100</x:f>
        <x:v>6.205118787749275</x:v>
      </x:c>
      <x:c r="N17" s="22" t="n">
        <x:v>143</x:v>
      </x:c>
      <x:c r="O17" s="24" t="n">
        <x:v>3.0753330516000377</x:v>
      </x:c>
      <x:c r="P17" s="25" t="n">
        <x:v>0.32516803325731464</x:v>
      </x:c>
      <x:c r="Q17" s="26" t="n">
        <x:v>0.6748319667426854</x:v>
      </x:c>
      <x:c r="R17" s="24" t="n">
        <x:v>2.8396321268348803</x:v>
      </x:c>
      <x:c r="S17" s="24" t="n">
        <x:v>2.789997758051423</x:v>
      </x:c>
      <x:c r="T17" s="2" t="str">
        <x:v>候选保留</x:v>
      </x:c>
      <x:c r="U17" s="2" t="str">
        <x:v>M</x:v>
      </x:c>
      <x:c r="V17" s="2" t="str">
        <x:v>植物</x:v>
      </x:c>
    </x:row>
    <x:row r="18" ht="24" customHeight="1">
      <x:c r="A18" s="10" t="str">
        <x:v>植物组织氮含量</x:v>
      </x:c>
      <x:c r="B18" s="10" t="str">
        <x:v>TN</x:v>
      </x:c>
      <x:c r="C18" s="10" t="str">
        <x:v>g/kg</x:v>
      </x:c>
      <x:c r="D18" s="27" t="n">
        <x:f>COUNT('原始数据'!N2:N144)</x:f>
        <x:v>143</x:v>
      </x:c>
      <x:c r="E18" s="27" t="n">
        <x:f>143-D18</x:f>
        <x:v>0</x:v>
      </x:c>
      <x:c r="F18" s="28" t="n">
        <x:f>MIN('原始数据'!N2:N144)</x:f>
        <x:v>10.8056107539451</x:v>
      </x:c>
      <x:c r="G18" s="28" t="n">
        <x:f>MAX('原始数据'!N2:N144)</x:f>
        <x:v>25.7512953367876</x:v>
      </x:c>
      <x:c r="H18" s="28" t="n">
        <x:f>AVERAGE('原始数据'!N2:N144)</x:f>
        <x:v>17.640455641760433</x:v>
      </x:c>
      <x:c r="I18" s="28" t="n">
        <x:f>STDEV('原始数据'!N2:N144)</x:f>
        <x:v>3.07972307488033</x:v>
      </x:c>
      <x:c r="J18" s="28" t="n">
        <x:f>MEDIAN('原始数据'!N2:N144)</x:f>
        <x:v>16.86317509596845</x:v>
      </x:c>
      <x:c r="K18" s="28" t="n">
        <x:f>PERCENTILE('原始数据'!N2:N144,0.25)</x:f>
        <x:v>15.61737709708542</x:v>
      </x:c>
      <x:c r="L18" s="28" t="n">
        <x:f>PERCENTILE('原始数据'!N2:N144,0.75)</x:f>
        <x:v>19.2843083461526</x:v>
      </x:c>
      <x:c r="M18" s="28" t="n">
        <x:f>I18/ABS(H18)*100</x:f>
        <x:v>17.45829664166763</x:v>
      </x:c>
      <x:c r="N18" s="27" t="n">
        <x:v>143</x:v>
      </x:c>
      <x:c r="O18" s="28" t="n">
        <x:v>2.1684566459711725</x:v>
      </x:c>
      <x:c r="P18" s="29" t="n">
        <x:v>0.461157478918439</x:v>
      </x:c>
      <x:c r="Q18" s="30" t="n">
        <x:v>0.538842521081561</x:v>
      </x:c>
      <x:c r="R18" s="28" t="n">
        <x:v>2.0737976867116754</x:v>
      </x:c>
      <x:c r="S18" s="28" t="n">
        <x:v>1.914392157341455</x:v>
      </x:c>
      <x:c r="T18" s="10" t="str">
        <x:v>候选保留</x:v>
      </x:c>
      <x:c r="U18" s="10" t="str">
        <x:v>N</x:v>
      </x:c>
      <x:c r="V18" s="10" t="str">
        <x:v>植物</x:v>
      </x:c>
    </x:row>
    <x:row r="19" ht="24" customHeight="1">
      <x:c r="A19" s="2" t="str">
        <x:v>植物组织磷含量</x:v>
      </x:c>
      <x:c r="B19" s="2" t="str">
        <x:v>TP</x:v>
      </x:c>
      <x:c r="C19" s="2" t="str">
        <x:v>g/kg</x:v>
      </x:c>
      <x:c r="D19" s="22" t="n">
        <x:f>COUNT('原始数据'!O2:O144)</x:f>
        <x:v>143</x:v>
      </x:c>
      <x:c r="E19" s="22" t="n">
        <x:f>143-D19</x:f>
        <x:v>0</x:v>
      </x:c>
      <x:c r="F19" s="24" t="n">
        <x:f>MIN('原始数据'!O2:O144)</x:f>
        <x:v>0.573664599973327</x:v>
      </x:c>
      <x:c r="G19" s="24" t="n">
        <x:f>MAX('原始数据'!O2:O144)</x:f>
        <x:v>2.98189975247525</x:v>
      </x:c>
      <x:c r="H19" s="24" t="n">
        <x:f>AVERAGE('原始数据'!O2:O144)</x:f>
        <x:v>1.9626398876857891</x:v>
      </x:c>
      <x:c r="I19" s="24" t="n">
        <x:f>STDEV('原始数据'!O2:O144)</x:f>
        <x:v>0.4906543818585549</x:v>
      </x:c>
      <x:c r="J19" s="24" t="n">
        <x:f>MEDIAN('原始数据'!O2:O144)</x:f>
        <x:v>1.9494384532626505</x:v>
      </x:c>
      <x:c r="K19" s="24" t="n">
        <x:f>PERCENTILE('原始数据'!O2:O144,0.25)</x:f>
        <x:v>1.69067603816225</x:v>
      </x:c>
      <x:c r="L19" s="24" t="n">
        <x:f>PERCENTILE('原始数据'!O2:O144,0.75)</x:f>
        <x:v>2.25623178590898</x:v>
      </x:c>
      <x:c r="M19" s="24" t="n">
        <x:f>I19/ABS(H19)*100</x:f>
        <x:v>24.999715176333293</x:v>
      </x:c>
      <x:c r="N19" s="22" t="n">
        <x:v>143</x:v>
      </x:c>
      <x:c r="O19" s="24" t="n">
        <x:v>2.5151298192551708</x:v>
      </x:c>
      <x:c r="P19" s="25" t="n">
        <x:v>0.39759379112134235</x:v>
      </x:c>
      <x:c r="Q19" s="26" t="n">
        <x:v>0.6024062088786577</x:v>
      </x:c>
      <x:c r="R19" s="24" t="n">
        <x:v>2.4853453326890143</x:v>
      </x:c>
      <x:c r="S19" s="24" t="n">
        <x:v>2.457779140946764</x:v>
      </x:c>
      <x:c r="T19" s="2" t="str">
        <x:v>候选保留</x:v>
      </x:c>
      <x:c r="U19" s="2" t="str">
        <x:v>O</x:v>
      </x:c>
      <x:c r="V19" s="2" t="str">
        <x:v>植物</x:v>
      </x:c>
    </x:row>
    <x:row r="20" ht="24" customHeight="1">
      <x:c r="A20" s="10" t="str">
        <x:v>年均气温</x:v>
      </x:c>
      <x:c r="B20" s="10" t="str">
        <x:v>MAT</x:v>
      </x:c>
      <x:c r="C20" s="10" t="str">
        <x:v>°C</x:v>
      </x:c>
      <x:c r="D20" s="27" t="n">
        <x:f>COUNT('原始数据'!P2:P144)</x:f>
        <x:v>143</x:v>
      </x:c>
      <x:c r="E20" s="27" t="n">
        <x:f>143-D20</x:f>
        <x:v>0</x:v>
      </x:c>
      <x:c r="F20" s="28" t="n">
        <x:f>MIN('原始数据'!P2:P144)</x:f>
        <x:v>22.504165649414062</x:v>
      </x:c>
      <x:c r="G20" s="28" t="n">
        <x:f>MAX('原始数据'!P2:P144)</x:f>
        <x:v>22.987499237060547</x:v>
      </x:c>
      <x:c r="H20" s="28" t="n">
        <x:f>AVERAGE('原始数据'!P2:P144)</x:f>
        <x:v>22.816579245187185</x:v>
      </x:c>
      <x:c r="I20" s="28" t="n">
        <x:f>STDEV('原始数据'!P2:P144)</x:f>
        <x:v>0.12292732858717083</x:v>
      </x:c>
      <x:c r="J20" s="28" t="n">
        <x:f>MEDIAN('原始数据'!P2:P144)</x:f>
        <x:v>22.866666793823242</x:v>
      </x:c>
      <x:c r="K20" s="28" t="n">
        <x:f>PERCENTILE('原始数据'!P2:P144,0.25)</x:f>
        <x:v>22.72916603088379</x:v>
      </x:c>
      <x:c r="L20" s="28" t="n">
        <x:f>PERCENTILE('原始数据'!P2:P144,0.75)</x:f>
        <x:v>22.90833282470703</x:v>
      </x:c>
      <x:c r="M20" s="28" t="str">
        <x:v>—</x:v>
      </x:c>
      <x:c r="N20" s="27" t="n">
        <x:v>33</x:v>
      </x:c>
      <x:c r="O20" s="28" t="n">
        <x:v>6.598188875077075</x:v>
      </x:c>
      <x:c r="P20" s="29" t="n">
        <x:v>0.15155674063487895</x:v>
      </x:c>
      <x:c r="Q20" s="30" t="n">
        <x:v>0.848443259365121</x:v>
      </x:c>
      <x:c r="R20" s="28" t="n">
        <x:v>1.9309224880158824</x:v>
      </x:c>
      <x:c r="S20" s="28" t="n">
        <x:v>1.710338760995155</x:v>
      </x:c>
      <x:c r="T20" s="10" t="str">
        <x:v>候选保留</x:v>
      </x:c>
      <x:c r="U20" s="10" t="str">
        <x:v>P</x:v>
      </x:c>
      <x:c r="V20" s="10" t="str">
        <x:v>气候</x:v>
      </x:c>
    </x:row>
    <x:row r="21" ht="24" customHeight="1">
      <x:c r="A21" s="2" t="str">
        <x:v>年均降水量</x:v>
      </x:c>
      <x:c r="B21" s="2" t="str">
        <x:v>MAP</x:v>
      </x:c>
      <x:c r="C21" s="2" t="str">
        <x:v>mm/年</x:v>
      </x:c>
      <x:c r="D21" s="22" t="n">
        <x:f>COUNT('原始数据'!Q2:Q144)</x:f>
        <x:v>143</x:v>
      </x:c>
      <x:c r="E21" s="22" t="n">
        <x:f>143-D21</x:f>
        <x:v>0</x:v>
      </x:c>
      <x:c r="F21" s="24" t="n">
        <x:f>MIN('原始数据'!Q2:Q144)</x:f>
        <x:v>1613</x:v>
      </x:c>
      <x:c r="G21" s="24" t="n">
        <x:f>MAX('原始数据'!Q2:Q144)</x:f>
        <x:v>1856</x:v>
      </x:c>
      <x:c r="H21" s="24" t="n">
        <x:f>AVERAGE('原始数据'!Q2:Q144)</x:f>
        <x:v>1673.972027972028</x:v>
      </x:c>
      <x:c r="I21" s="24" t="n">
        <x:f>STDEV('原始数据'!Q2:Q144)</x:f>
        <x:v>74.56039654657361</x:v>
      </x:c>
      <x:c r="J21" s="24" t="n">
        <x:f>MEDIAN('原始数据'!Q2:Q144)</x:f>
        <x:v>1647</x:v>
      </x:c>
      <x:c r="K21" s="24" t="n">
        <x:f>PERCENTILE('原始数据'!Q2:Q144,0.25)</x:f>
        <x:v>1635</x:v>
      </x:c>
      <x:c r="L21" s="24" t="n">
        <x:f>PERCENTILE('原始数据'!Q2:Q144,0.75)</x:f>
        <x:v>1653</x:v>
      </x:c>
      <x:c r="M21" s="24" t="n">
        <x:f>I21/ABS(H21)*100</x:f>
        <x:v>4.4541005047080455</x:v>
      </x:c>
      <x:c r="N21" s="22" t="n">
        <x:v>28</x:v>
      </x:c>
      <x:c r="O21" s="24" t="n">
        <x:v>118.07957713684648</x:v>
      </x:c>
      <x:c r="P21" s="25" t="n">
        <x:v>0.0084688650166918</x:v>
      </x:c>
      <x:c r="Q21" s="26" t="n">
        <x:v>0.9915311349833082</x:v>
      </x:c>
      <x:c r="R21" s="24" t="n">
        <x:v>2.922705570225183</x:v>
      </x:c>
      <x:c r="S21" s="24" t="n">
        <x:v>2.7808007573244025</x:v>
      </x:c>
      <x:c r="T21" s="2" t="str">
        <x:v>候选保留</x:v>
      </x:c>
      <x:c r="U21" s="2" t="str">
        <x:v>Q</x:v>
      </x:c>
      <x:c r="V21" s="2" t="str">
        <x:v>气候</x:v>
      </x:c>
    </x:row>
    <x:row r="22" ht="24" customHeight="1">
      <x:c r="A22" s="10" t="str">
        <x:v>距海岸距离</x:v>
      </x:c>
      <x:c r="B22" s="10" t="str">
        <x:v>DCOAST</x:v>
      </x:c>
      <x:c r="C22" s="10" t="str">
        <x:v>m</x:v>
      </x:c>
      <x:c r="D22" s="27" t="n">
        <x:f>COUNT('原始数据'!R2:R144)</x:f>
        <x:v>143</x:v>
      </x:c>
      <x:c r="E22" s="27" t="n">
        <x:f>143-D22</x:f>
        <x:v>0</x:v>
      </x:c>
      <x:c r="F22" s="28" t="n">
        <x:f>MIN('原始数据'!R2:R144)</x:f>
        <x:v>1.6655459000747859</x:v>
      </x:c>
      <x:c r="G22" s="28" t="n">
        <x:f>MAX('原始数据'!R2:R144)</x:f>
        <x:v>1560.4929724453382</x:v>
      </x:c>
      <x:c r="H22" s="28" t="n">
        <x:f>AVERAGE('原始数据'!R2:R144)</x:f>
        <x:v>364.8918810780709</x:v>
      </x:c>
      <x:c r="I22" s="28" t="n">
        <x:f>STDEV('原始数据'!R2:R144)</x:f>
        <x:v>385.40102787622067</x:v>
      </x:c>
      <x:c r="J22" s="28" t="n">
        <x:f>MEDIAN('原始数据'!R2:R144)</x:f>
        <x:v>239.93810385331207</x:v>
      </x:c>
      <x:c r="K22" s="28" t="n">
        <x:f>PERCENTILE('原始数据'!R2:R144,0.25)</x:f>
        <x:v>110.07590167335678</x:v>
      </x:c>
      <x:c r="L22" s="28" t="n">
        <x:f>PERCENTILE('原始数据'!R2:R144,0.75)</x:f>
        <x:v>465.94486809887235</x:v>
      </x:c>
      <x:c r="M22" s="28" t="n">
        <x:f>I22/ABS(H22)*100</x:f>
        <x:v>105.62060924390961</x:v>
      </x:c>
      <x:c r="N22" s="27" t="n">
        <x:v>143</x:v>
      </x:c>
      <x:c r="O22" s="28" t="n">
        <x:v>1.3897600896300009</x:v>
      </x:c>
      <x:c r="P22" s="29" t="n">
        <x:v>0.7195486526499926</x:v>
      </x:c>
      <x:c r="Q22" s="30" t="n">
        <x:v>0.28045134735000743</x:v>
      </x:c>
      <x:c r="R22" s="28" t="n">
        <x:v>1.3726407422609899</x:v>
      </x:c>
      <x:c r="S22" s="28" t="n">
        <x:v>1.2811780588485133</x:v>
      </x:c>
      <x:c r="T22" s="10" t="str">
        <x:v>候选保留</x:v>
      </x:c>
      <x:c r="U22" s="10" t="str">
        <x:v>R</x:v>
      </x:c>
      <x:c r="V22" s="10" t="str">
        <x:v>水文</x:v>
      </x:c>
    </x:row>
    <x:row r="23" ht="24" customHeight="1">
      <x:c r="A23" s="2" t="str">
        <x:v>距模型河口距离</x:v>
      </x:c>
      <x:c r="B23" s="2" t="str">
        <x:v>DEST</x:v>
      </x:c>
      <x:c r="C23" s="2" t="str">
        <x:v>m</x:v>
      </x:c>
      <x:c r="D23" s="22" t="n">
        <x:f>COUNT('原始数据'!S2:S144)</x:f>
        <x:v>143</x:v>
      </x:c>
      <x:c r="E23" s="22" t="n">
        <x:f>143-D23</x:f>
        <x:v>0</x:v>
      </x:c>
      <x:c r="F23" s="24" t="n">
        <x:f>MIN('原始数据'!S2:S144)</x:f>
        <x:v>64.14372190623178</x:v>
      </x:c>
      <x:c r="G23" s="24" t="n">
        <x:f>MAX('原始数据'!S2:S144)</x:f>
        <x:v>4225.438365909939</x:v>
      </x:c>
      <x:c r="H23" s="24" t="n">
        <x:f>AVERAGE('原始数据'!S2:S144)</x:f>
        <x:v>1436.6198843794148</x:v>
      </x:c>
      <x:c r="I23" s="24" t="n">
        <x:f>STDEV('原始数据'!S2:S144)</x:f>
        <x:v>957.2002235459757</x:v>
      </x:c>
      <x:c r="J23" s="24" t="n">
        <x:f>MEDIAN('原始数据'!S2:S144)</x:f>
        <x:v>1220.956795528317</x:v>
      </x:c>
      <x:c r="K23" s="24" t="n">
        <x:f>PERCENTILE('原始数据'!S2:S144,0.25)</x:f>
        <x:v>809.8917368450864</x:v>
      </x:c>
      <x:c r="L23" s="24" t="n">
        <x:f>PERCENTILE('原始数据'!S2:S144,0.75)</x:f>
        <x:v>1816.4583074206412</x:v>
      </x:c>
      <x:c r="M23" s="24" t="n">
        <x:f>I23/ABS(H23)*100</x:f>
        <x:v>66.62863530943422</x:v>
      </x:c>
      <x:c r="N23" s="22" t="n">
        <x:v>143</x:v>
      </x:c>
      <x:c r="O23" s="24" t="n">
        <x:v>1.5635184624638048</x:v>
      </x:c>
      <x:c r="P23" s="25" t="n">
        <x:v>0.6395831095107071</x:v>
      </x:c>
      <x:c r="Q23" s="26" t="n">
        <x:v>0.36041689048929293</x:v>
      </x:c>
      <x:c r="R23" s="24" t="n">
        <x:v>1.426529741223524</x:v>
      </x:c>
      <x:c r="S23" s="24" t="n">
        <x:v>1.3989188894302031</x:v>
      </x:c>
      <x:c r="T23" s="2" t="str">
        <x:v>候选保留</x:v>
      </x:c>
      <x:c r="U23" s="2" t="str">
        <x:v>S</x:v>
      </x:c>
      <x:c r="V23" s="2" t="str">
        <x:v>水文</x:v>
      </x:c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38" customHeight="1">
      <x:c r="A25" s="5" t="str">
        <x:v>表注：均值和 SD 均为原始尺度，SD 用 n−1 分母；Q1/Q3 为线性插值的 25%/75% 分位数（Excel PERCENTILE）。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</x:row>
    <x:row r="26" ht="38" customHeight="1">
      <x:c r="A26" s="5" t="str">
        <x:v>VIF 全17：C–S 全部数值列；无坐标15：不含 LAT/LON；候选12：该集合内重新计算。VIF = 1/(1−R²)，容忍度 = 1/VIF，辅助回归包含截距。</x:v>
      </x:c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</x:row>
    <x:row r="27" ht="38" customHeight="1">
      <x:c r="A27" s="5" t="str">
        <x:v>“—”表示该 VIF 集合未包含此变量，或 CV 无适当解释（经纬度、pH 和摄氏气温）。Plot ID 为标识，Region 为分组，均不纳入数值 VIF。</x:v>
      </x:c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</x:row>
    <x:row r="28" ht="38" customHeight="1">
      <x:c r="A28" s="5" t="str">
        <x:v>盐度单位 ppt；植物组织 C/N/P 单位 g/kg；化学计量比为质量比。SOC 是源列名，表示植物组织碳含量，不能解读为土壤有机碳。</x:v>
      </x:c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</x:row>
    <x:row r="29" ht="38" customHeight="1">
      <x:c r="A29" s="5" t="str">
        <x:v>含水率按干基质量百分数解释：(湿质量−干质量)/干质量×100%；可超过 100%。此解释需与原始称量方法核对，原数值未改动。</x:v>
      </x:c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</x:row>
    <x:row r="30" ht="38" customHeight="1">
      <x:c r="A30" s="5" t="str">
        <x:v>距模型河口距离来自 HydroRIVERS 概化出口点的直线距离，仅表示相对河口梯度，不表示距实测河口边界的精确距离。</x:v>
      </x:c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</x:row>
    <x:row r="31" ht="38" customHeight="1">
      <x:c r="A31" s="5" t="str">
        <x:v>相关系数、VIF 及筛选结果为此次数据的计算快照；修改原始数据后需重新计算这些诊断，不能仅依赖更新的描述统计。</x:v>
      </x:c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</x:row>
    <x:row r="32" ht="38" customHeight="1">
      <x:c r="A32" s="5" t="str">
        <x:v>候选集用于控制共线性，尚未结合响应变量和生态机制验证。低 VIF 或低相关不证明变量、样本或模型误差相互独立。</x:v>
      </x:c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</x:sheetData>
  <x:mergeCells>
    <x:mergeCell ref="A4:V4"/>
    <x:mergeCell ref="A25:V25"/>
    <x:mergeCell ref="A26:V26"/>
    <x:mergeCell ref="A27:V27"/>
    <x:mergeCell ref="A28:V28"/>
    <x:mergeCell ref="A29:V29"/>
    <x:mergeCell ref="A30:V30"/>
    <x:mergeCell ref="A31:V31"/>
    <x:mergeCell ref="A32:V32"/>
  </x:mergeCells>
  <x:conditionalFormatting sqref="O7:O23">
    <x:cfRule type="cellIs" dxfId="0" priority="1" operator="greaterThanOrEqual">
      <x:formula>5</x:formula>
    </x:cfRule>
  </x:conditionalFormatting>
  <x:conditionalFormatting sqref="R7:R23">
    <x:cfRule type="cellIs" dxfId="1" priority="2" operator="greaterThanOrEqual">
      <x:formula>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5" hidden="0" customWidth="1"/>
    <x:col min="4" max="4" width="20" hidden="0" customWidth="1"/>
    <x:col min="5" max="5" width="20" hidden="0" customWidth="1"/>
    <x:col min="6" max="6" width="24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自变量筛选与分析说明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8" customHeight="1">
      <x:c r="A4" s="5" t="str">
        <x:v>筛选采用 VIF &lt; 5；空间坐标单独处理。初始不含坐标的 15 项中包含 3 项植物组织化学性状。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9" t="str">
        <x:v>步骤</x:v>
      </x:c>
      <x:c r="B6" s="9" t="str">
        <x:v>本步移除</x:v>
      </x:c>
      <x:c r="C6" s="9" t="str">
        <x:v>移除依据</x:v>
      </x:c>
      <x:c r="D6" s="9" t="str">
        <x:v>移除前 VIF</x:v>
      </x:c>
      <x:c r="E6" s="9" t="str">
        <x:v>剩余变量数</x:v>
      </x:c>
      <x:c r="F6" s="9" t="str">
        <x:v>移除后最大 VIF</x:v>
      </x:c>
      <x:c r="G6" s="2"/>
      <x:c r="H6" s="2"/>
      <x:c r="I6" s="2"/>
      <x:c r="J6" s="2"/>
    </x:row>
    <x:row r="7" ht="48" customHeight="1">
      <x:c r="A7" s="11" t="n">
        <x:v>0</x:v>
      </x:c>
      <x:c r="B7" s="2" t="str">
        <x:v>LAT, LON</x:v>
      </x:c>
      <x:c r="C7" s="5" t="str">
        <x:v>空间位置作为独立分析维度；环境候选集不含坐标</x:v>
      </x:c>
      <x:c r="D7" s="13" t="str">
        <x:v>—</x:v>
      </x:c>
      <x:c r="E7" s="11" t="n">
        <x:v>15</x:v>
      </x:c>
      <x:c r="F7" s="13" t="n">
        <x:v>664366.1508638746</x:v>
      </x:c>
      <x:c r="G7" s="2"/>
      <x:c r="H7" s="2"/>
      <x:c r="I7" s="2"/>
      <x:c r="J7" s="2"/>
    </x:row>
    <x:row r="8" ht="48" customHeight="1">
      <x:c r="A8" s="12" t="n">
        <x:v>1</x:v>
      </x:c>
      <x:c r="B8" s="10" t="str">
        <x:v>POR</x:v>
      </x:c>
      <x:c r="C8" s="33" t="str">
        <x:v>容重与孔隙度高度线性相关；保留容重作为该物理梯度的代表</x:v>
      </x:c>
      <x:c r="D8" s="14" t="n">
        <x:v>664283.0885569694</x:v>
      </x:c>
      <x:c r="E8" s="12" t="n">
        <x:v>14</x:v>
      </x:c>
      <x:c r="F8" s="14" t="n">
        <x:v>68.92271870786571</x:v>
      </x:c>
      <x:c r="G8" s="2"/>
      <x:c r="H8" s="2"/>
      <x:c r="I8" s="2"/>
      <x:c r="J8" s="2"/>
    </x:row>
    <x:row r="9" ht="48" customHeight="1">
      <x:c r="A9" s="11" t="n">
        <x:v>2</x:v>
      </x:c>
      <x:c r="B9" s="2" t="str">
        <x:v>CP</x:v>
      </x:c>
      <x:c r="C9" s="5" t="str">
        <x:v>当前候选集中 VIF 最大且 ≥5；按事先规则逐次移除</x:v>
      </x:c>
      <x:c r="D9" s="13" t="n">
        <x:v>68.92271870786571</x:v>
      </x:c>
      <x:c r="E9" s="11" t="n">
        <x:v>13</x:v>
      </x:c>
      <x:c r="F9" s="13" t="n">
        <x:v>7.3444918740121246</x:v>
      </x:c>
      <x:c r="G9" s="2"/>
      <x:c r="H9" s="2"/>
      <x:c r="I9" s="2"/>
      <x:c r="J9" s="2"/>
    </x:row>
    <x:row r="10" ht="48" customHeight="1">
      <x:c r="A10" s="12" t="n">
        <x:v>3</x:v>
      </x:c>
      <x:c r="B10" s="10" t="str">
        <x:v>BD</x:v>
      </x:c>
      <x:c r="C10" s="33" t="str">
        <x:v>当前候选集中 VIF 最大且 ≥5；按事先规则逐次移除</x:v>
      </x:c>
      <x:c r="D10" s="14" t="n">
        <x:v>7.3444918740121246</x:v>
      </x:c>
      <x:c r="E10" s="12" t="n">
        <x:v>12</x:v>
      </x:c>
      <x:c r="F10" s="14" t="n">
        <x:v>2.789997758051423</x:v>
      </x:c>
      <x:c r="G10" s="2"/>
      <x:c r="H10" s="2"/>
      <x:c r="I10" s="2"/>
      <x:c r="J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8" customHeight="1">
      <x:c r="A13" s="9" t="str">
        <x:v>候选变量</x:v>
      </x:c>
      <x:c r="B13" s="9" t="str">
        <x:v>缩写</x:v>
      </x:c>
      <x:c r="C13" s="9" t="str">
        <x:v>单位</x:v>
      </x:c>
      <x:c r="D13" s="9" t="str">
        <x:v>候选 VIF</x:v>
      </x:c>
      <x:c r="E13" s="9" t="str">
        <x:v>候选容忍度</x:v>
      </x:c>
      <x:c r="F13" s="2"/>
      <x:c r="G13" s="2"/>
      <x:c r="H13" s="2"/>
      <x:c r="I13" s="2"/>
      <x:c r="J13" s="2"/>
    </x:row>
    <x:row r="14" ht="24" customHeight="1">
      <x:c r="A14" s="2" t="str">
        <x:v>土壤含水率</x:v>
      </x:c>
      <x:c r="B14" s="2" t="str">
        <x:v>SWC</x:v>
      </x:c>
      <x:c r="C14" s="2" t="str">
        <x:v>%</x:v>
      </x:c>
      <x:c r="D14" s="19" t="n">
        <x:v>1.532623436879432</x:v>
      </x:c>
      <x:c r="E14" s="19" t="n">
        <x:v>0.6524759937353534</x:v>
      </x:c>
      <x:c r="F14" s="2"/>
      <x:c r="G14" s="2"/>
      <x:c r="H14" s="2"/>
      <x:c r="I14" s="2"/>
      <x:c r="J14" s="2"/>
    </x:row>
    <x:row r="15" ht="24" customHeight="1">
      <x:c r="A15" s="10" t="str">
        <x:v>盐度</x:v>
      </x:c>
      <x:c r="B15" s="10" t="str">
        <x:v>SAL</x:v>
      </x:c>
      <x:c r="C15" s="10" t="str">
        <x:v>ppt</x:v>
      </x:c>
      <x:c r="D15" s="34" t="n">
        <x:v>2.4803055655001183</x:v>
      </x:c>
      <x:c r="E15" s="34" t="n">
        <x:v>0.40317613035648864</x:v>
      </x:c>
      <x:c r="F15" s="2"/>
      <x:c r="G15" s="2"/>
      <x:c r="H15" s="2"/>
      <x:c r="I15" s="2"/>
      <x:c r="J15" s="2"/>
    </x:row>
    <x:row r="16" ht="24" customHeight="1">
      <x:c r="A16" s="2" t="str">
        <x:v>酸碱度</x:v>
      </x:c>
      <x:c r="B16" s="2" t="str">
        <x:v>pH</x:v>
      </x:c>
      <x:c r="C16" s="2" t="str">
        <x:v>无量纲</x:v>
      </x:c>
      <x:c r="D16" s="19" t="n">
        <x:v>1.2590462738656363</x:v>
      </x:c>
      <x:c r="E16" s="19" t="n">
        <x:v>0.794251983233079</x:v>
      </x:c>
      <x:c r="F16" s="2"/>
      <x:c r="G16" s="2"/>
      <x:c r="H16" s="2"/>
      <x:c r="I16" s="2"/>
      <x:c r="J16" s="2"/>
    </x:row>
    <x:row r="17" ht="24" customHeight="1">
      <x:c r="A17" s="10" t="str">
        <x:v>C:N 比</x:v>
      </x:c>
      <x:c r="B17" s="10" t="str">
        <x:v>CN</x:v>
      </x:c>
      <x:c r="C17" s="10" t="str">
        <x:v>无量纲</x:v>
      </x:c>
      <x:c r="D17" s="34" t="n">
        <x:v>1.4633954612223488</x:v>
      </x:c>
      <x:c r="E17" s="34" t="n">
        <x:v>0.6833422861409707</x:v>
      </x:c>
      <x:c r="F17" s="2"/>
      <x:c r="G17" s="2"/>
      <x:c r="H17" s="2"/>
      <x:c r="I17" s="2"/>
      <x:c r="J17" s="2"/>
    </x:row>
    <x:row r="18" ht="24" customHeight="1">
      <x:c r="A18" s="2" t="str">
        <x:v>N:P 比</x:v>
      </x:c>
      <x:c r="B18" s="2" t="str">
        <x:v>NP</x:v>
      </x:c>
      <x:c r="C18" s="2" t="str">
        <x:v>无量纲</x:v>
      </x:c>
      <x:c r="D18" s="19" t="n">
        <x:v>1.7938111064438274</x:v>
      </x:c>
      <x:c r="E18" s="19" t="n">
        <x:v>0.5574722981743979</x:v>
      </x:c>
      <x:c r="F18" s="2"/>
      <x:c r="G18" s="2"/>
      <x:c r="H18" s="2"/>
      <x:c r="I18" s="2"/>
      <x:c r="J18" s="2"/>
    </x:row>
    <x:row r="19" ht="24" customHeight="1">
      <x:c r="A19" s="10" t="str">
        <x:v>植物组织碳含量</x:v>
      </x:c>
      <x:c r="B19" s="10" t="str">
        <x:v>SOC</x:v>
      </x:c>
      <x:c r="C19" s="10" t="str">
        <x:v>g/kg</x:v>
      </x:c>
      <x:c r="D19" s="34" t="n">
        <x:v>2.789997758051423</x:v>
      </x:c>
      <x:c r="E19" s="34" t="n">
        <x:v>0.35842322708474694</x:v>
      </x:c>
      <x:c r="F19" s="2"/>
      <x:c r="G19" s="2"/>
      <x:c r="H19" s="2"/>
      <x:c r="I19" s="2"/>
      <x:c r="J19" s="2"/>
    </x:row>
    <x:row r="20" ht="24" customHeight="1">
      <x:c r="A20" s="2" t="str">
        <x:v>植物组织氮含量</x:v>
      </x:c>
      <x:c r="B20" s="2" t="str">
        <x:v>TN</x:v>
      </x:c>
      <x:c r="C20" s="2" t="str">
        <x:v>g/kg</x:v>
      </x:c>
      <x:c r="D20" s="19" t="n">
        <x:v>1.914392157341455</x:v>
      </x:c>
      <x:c r="E20" s="19" t="n">
        <x:v>0.5223590141471928</x:v>
      </x:c>
      <x:c r="F20" s="2"/>
      <x:c r="G20" s="2"/>
      <x:c r="H20" s="2"/>
      <x:c r="I20" s="2"/>
      <x:c r="J20" s="2"/>
    </x:row>
    <x:row r="21" ht="24" customHeight="1">
      <x:c r="A21" s="10" t="str">
        <x:v>植物组织磷含量</x:v>
      </x:c>
      <x:c r="B21" s="10" t="str">
        <x:v>TP</x:v>
      </x:c>
      <x:c r="C21" s="10" t="str">
        <x:v>g/kg</x:v>
      </x:c>
      <x:c r="D21" s="34" t="n">
        <x:v>2.457779140946764</x:v>
      </x:c>
      <x:c r="E21" s="34" t="n">
        <x:v>0.406871383738243</x:v>
      </x:c>
      <x:c r="F21" s="2"/>
      <x:c r="G21" s="2"/>
      <x:c r="H21" s="2"/>
      <x:c r="I21" s="2"/>
      <x:c r="J21" s="2"/>
    </x:row>
    <x:row r="22" ht="24" customHeight="1">
      <x:c r="A22" s="2" t="str">
        <x:v>年均气温</x:v>
      </x:c>
      <x:c r="B22" s="2" t="str">
        <x:v>MAT</x:v>
      </x:c>
      <x:c r="C22" s="2" t="str">
        <x:v>°C</x:v>
      </x:c>
      <x:c r="D22" s="19" t="n">
        <x:v>1.710338760995155</x:v>
      </x:c>
      <x:c r="E22" s="19" t="n">
        <x:v>0.5846794932122998</x:v>
      </x:c>
      <x:c r="F22" s="2"/>
      <x:c r="G22" s="2"/>
      <x:c r="H22" s="2"/>
      <x:c r="I22" s="2"/>
      <x:c r="J22" s="2"/>
    </x:row>
    <x:row r="23" ht="24" customHeight="1">
      <x:c r="A23" s="10" t="str">
        <x:v>年均降水量</x:v>
      </x:c>
      <x:c r="B23" s="10" t="str">
        <x:v>MAP</x:v>
      </x:c>
      <x:c r="C23" s="10" t="str">
        <x:v>mm/年</x:v>
      </x:c>
      <x:c r="D23" s="34" t="n">
        <x:v>2.7808007573244025</x:v>
      </x:c>
      <x:c r="E23" s="34" t="n">
        <x:v>0.3596086477487039</x:v>
      </x:c>
      <x:c r="F23" s="2"/>
      <x:c r="G23" s="2"/>
      <x:c r="H23" s="2"/>
      <x:c r="I23" s="2"/>
      <x:c r="J23" s="2"/>
    </x:row>
    <x:row r="24" ht="24" customHeight="1">
      <x:c r="A24" s="2" t="str">
        <x:v>距海岸距离</x:v>
      </x:c>
      <x:c r="B24" s="2" t="str">
        <x:v>DCOAST</x:v>
      </x:c>
      <x:c r="C24" s="2" t="str">
        <x:v>m</x:v>
      </x:c>
      <x:c r="D24" s="19" t="n">
        <x:v>1.2811780588485133</x:v>
      </x:c>
      <x:c r="E24" s="19" t="n">
        <x:v>0.7805316310980004</x:v>
      </x:c>
      <x:c r="F24" s="2"/>
      <x:c r="G24" s="2"/>
      <x:c r="H24" s="2"/>
      <x:c r="I24" s="2"/>
      <x:c r="J24" s="2"/>
    </x:row>
    <x:row r="25" ht="24" customHeight="1">
      <x:c r="A25" s="10" t="str">
        <x:v>距模型河口距离</x:v>
      </x:c>
      <x:c r="B25" s="10" t="str">
        <x:v>DEST</x:v>
      </x:c>
      <x:c r="C25" s="10" t="str">
        <x:v>m</x:v>
      </x:c>
      <x:c r="D25" s="34" t="n">
        <x:v>1.3989188894302031</x:v>
      </x:c>
      <x:c r="E25" s="34" t="n">
        <x:v>0.7148377275878463</x:v>
      </x:c>
      <x:c r="F25" s="2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38" customHeight="1">
      <x:c r="A28" s="5" t="str">
        <x:v>筛选路径：移出 LAT/LON；因 BD 与 POR 接近完全线性相关，先移除 POR；随后每轮移除最大 VIF 且 VIF ≥5 的变量，依次为 CP、BD。全部剩余变量 VIF &lt;5 后停止。</x:v>
      </x:c>
      <x:c r="B28" s="5"/>
      <x:c r="C28" s="5"/>
      <x:c r="D28" s="5"/>
      <x:c r="E28" s="5"/>
      <x:c r="F28" s="5"/>
      <x:c r="G28" s="5"/>
      <x:c r="H28" s="5"/>
      <x:c r="I28" s="5"/>
      <x:c r="J28" s="5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38" customHeight="1">
      <x:c r="A30" s="5" t="str">
        <x:v>这是一套明确规则下的候选组合。若容重是核心解释变量，可改变优先保留规则并重新筛选。不得把该组合称为唯一最优模型。</x:v>
      </x:c>
      <x:c r="B30" s="5"/>
      <x:c r="C30" s="5"/>
      <x:c r="D30" s="5"/>
      <x:c r="E30" s="5"/>
      <x:c r="F30" s="5"/>
      <x:c r="G30" s="5"/>
      <x:c r="H30" s="5"/>
      <x:c r="I30" s="5"/>
      <x:c r="J30" s="5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38" customHeight="1">
      <x:c r="A32" s="5" t="str">
        <x:v>全17组辅助回归在143条完整记录上进行；各变量标准化后用最小二乘求解，并包含截距。标准化不改变含截距的 VIF。未对变量取对数或删去极端值。</x:v>
      </x:c>
      <x:c r="B32" s="5"/>
      <x:c r="C32" s="5"/>
      <x:c r="D32" s="5"/>
      <x:c r="E32" s="5"/>
      <x:c r="F32" s="5"/>
      <x:c r="G32" s="5"/>
      <x:c r="H32" s="5"/>
      <x:c r="I32" s="5"/>
      <x:c r="J32" s="5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38" customHeight="1">
      <x:c r="A34" s="5" t="str">
        <x:v>Pearson 描述线性相关；Spearman 使用并列值的平均秩，描述单调相关。|r| ≥0.70 仅作为本次标记强线性相关的筛查规则，不是独立性或显著性标准。</x:v>
      </x:c>
      <x:c r="B34" s="5"/>
      <x:c r="C34" s="5"/>
      <x:c r="D34" s="5"/>
      <x:c r="E34" s="5"/>
      <x:c r="F34" s="5"/>
      <x:c r="G34" s="5"/>
      <x:c r="H34" s="5"/>
      <x:c r="I34" s="5"/>
      <x:c r="J34" s="5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38" customHeight="1">
      <x:c r="A36" s="5" t="str">
        <x:v>143条记录来自两个区域（SZ=23、GQ=120），合并相关可受区域间差异影响。相关性工作表附区域内相关，区域内常量变量的相关显示“—”。未进行需要独立观测假设的相关显著性检验。</x:v>
      </x:c>
      <x:c r="B36" s="5"/>
      <x:c r="C36" s="5"/>
      <x:c r="D36" s="5"/>
      <x:c r="E36" s="5"/>
      <x:c r="F36" s="5"/>
      <x:c r="G36" s="5"/>
      <x:c r="H36" s="5"/>
      <x:c r="I36" s="5"/>
      <x:c r="J36" s="5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38" customHeight="1">
      <x:c r="A38" s="5" t="str">
        <x:v>Region 为分类分组变量，Plot ID 为样地标识。若最终模型加入 Region、空间项或交互项，应按最终设计矩阵重算共线性，并检查误差结构。未提供响应变量，未检验残差独立性或空间自相关。</x:v>
      </x:c>
      <x:c r="B38" s="5"/>
      <x:c r="C38" s="5"/>
      <x:c r="D38" s="5"/>
      <x:c r="E38" s="5"/>
      <x:c r="F38" s="5"/>
      <x:c r="G38" s="5"/>
      <x:c r="H38" s="5"/>
      <x:c r="I38" s="5"/>
      <x:c r="J38" s="5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38" customHeight="1">
      <x:c r="A40" s="5" t="str">
        <x:v>SOC、TN、TP 为植物组织化学性状，由用户确认单位 g/kg；这三列不是土壤养分。原列名保留在数据和字典中。化学计量工作表的三个质量比保持原值，不用植物组织含量重算。</x:v>
      </x:c>
      <x:c r="B40" s="5"/>
      <x:c r="C40" s="5"/>
      <x:c r="D40" s="5"/>
      <x:c r="E40" s="5"/>
      <x:c r="F40" s="5"/>
      <x:c r="G40" s="5"/>
      <x:c r="H40" s="5"/>
      <x:c r="I40" s="5"/>
      <x:c r="J40" s="5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38" customHeight="1">
      <x:c r="A42" s="5" t="str">
        <x:v>SWC 按干基质量含水率解释；106条记录超过100%，本身不构成异常值删除依据。具体称量、干燥温度和基准仍应与实验记录一致。</x:v>
      </x:c>
      <x:c r="B42" s="5"/>
      <x:c r="C42" s="5"/>
      <x:c r="D42" s="5"/>
      <x:c r="E42" s="5"/>
      <x:c r="F42" s="5"/>
      <x:c r="G42" s="5"/>
      <x:c r="H42" s="5"/>
      <x:c r="I42" s="5"/>
      <x:c r="J42" s="5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38" customHeight="1">
      <x:c r="A44" s="5" t="str">
        <x:v>模型河口距离采用源文件“水文”工作表说明：HydroRIVERS出口单点的直线距离，仅用于相对梯度分析，不代表实测河口口门边界。</x:v>
      </x:c>
      <x:c r="B44" s="5"/>
      <x:c r="C44" s="5"/>
      <x:c r="D44" s="5"/>
      <x:c r="E44" s="5"/>
      <x:c r="F44" s="5"/>
      <x:c r="G44" s="5"/>
      <x:c r="H44" s="5"/>
      <x:c r="I44" s="5"/>
      <x:c r="J44" s="5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8" customHeight="1">
      <x:c r="A46" s="5" t="str">
        <x:v>SD为样本标准差；CV=SD/|均值|×100%。经纬度、pH、摄氏温度不报告CV。所有统计保留全精度数值；显示小数位不改变分析值。</x:v>
      </x:c>
      <x:c r="B46" s="5"/>
      <x:c r="C46" s="5"/>
      <x:c r="D46" s="5"/>
      <x:c r="E46" s="5"/>
      <x:c r="F46" s="5"/>
      <x:c r="G46" s="5"/>
      <x:c r="H46" s="5"/>
      <x:c r="I46" s="5"/>
      <x:c r="J46" s="5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38" customHeight="1">
      <x:c r="A48" s="5" t="str">
        <x:v>VIF≥5作为本次筛选阈值，参考 statsmodels 官方统计文档；VIF阈值不是绝对显著性检验。</x:v>
      </x:c>
      <x:c r="B48" s="5"/>
      <x:c r="C48" s="5"/>
      <x:c r="D48" s="5"/>
      <x:c r="E48" s="5"/>
      <x:c r="F48" s="5"/>
      <x:c r="G48" s="5"/>
      <x:c r="H48" s="5"/>
      <x:c r="I48" s="5"/>
      <x:c r="J48" s="5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38" customHeight="1">
      <x:c r="A50" s="5" t="str">
        <x:v>数据来源：模块.xlsx 的“自变量”A1:S144；读取143条非空数据行。单位、质量比及植物组织来源由用户补充确认。</x:v>
      </x:c>
      <x:c r="B50" s="5"/>
      <x:c r="C50" s="5"/>
      <x:c r="D50" s="5"/>
      <x:c r="E50" s="5"/>
      <x:c r="F50" s="5"/>
      <x:c r="G50" s="5"/>
      <x:c r="H50" s="5"/>
      <x:c r="I50" s="5"/>
      <x:c r="J50" s="5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38" customHeight="1">
      <x:c r="A52" s="5" t="str">
        <x:v>分析核验：无缺失、无非数值、无重复Plot ID；17列标准化矩阵秩为17，但条件数为2518.82，存在严重近线性依赖。</x:v>
      </x:c>
      <x:c r="B52" s="5"/>
      <x:c r="C52" s="5"/>
      <x:c r="D52" s="5"/>
      <x:c r="E52" s="5"/>
      <x:c r="F52" s="5"/>
      <x:c r="G52" s="5"/>
      <x:c r="H52" s="5"/>
      <x:c r="I52" s="5"/>
      <x:c r="J52" s="5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38" customHeight="1">
      <x:c r="A54" s="5" t="str">
        <x:v>交叉核验：逐列辅助回归VIF与相关矩阵逆的对角线一致，最大相对误差 5.11e-10。</x:v>
      </x:c>
      <x:c r="B54" s="5"/>
      <x:c r="C54" s="5"/>
      <x:c r="D54" s="5"/>
      <x:c r="E54" s="5"/>
      <x:c r="F54" s="5"/>
      <x:c r="G54" s="5"/>
      <x:c r="H54" s="5"/>
      <x:c r="I54" s="5"/>
      <x:c r="J54" s="5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38" customHeight="1">
      <x:c r="A56" s="5" t="str">
        <x:v>方法来源：https://www.statsmodels.org/stable/generated/statsmodels.stats.outliers_influence.variance_inflation_factor.html</x:v>
      </x:c>
      <x:c r="B56" s="5"/>
      <x:c r="C56" s="5"/>
      <x:c r="D56" s="5"/>
      <x:c r="E56" s="5"/>
      <x:c r="F56" s="5"/>
      <x:c r="G56" s="5"/>
      <x:c r="H56" s="5"/>
      <x:c r="I56" s="5"/>
      <x:c r="J56" s="5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38" customHeight="1">
      <x:c r="A58" s="5" t="str">
        <x:v>误差独立性参考：https://online.stat.psu.edu/stat501/Lesson12</x:v>
      </x:c>
      <x:c r="B58" s="5"/>
      <x:c r="C58" s="5"/>
      <x:c r="D58" s="5"/>
      <x:c r="E58" s="5"/>
      <x:c r="F58" s="5"/>
      <x:c r="G58" s="5"/>
      <x:c r="H58" s="5"/>
      <x:c r="I58" s="5"/>
      <x:c r="J58" s="5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38" customHeight="1">
      <x:c r="A60" s="5" t="str">
        <x:v>源文件SHA-256：c83cef6964fa103f431bdb9c8f39d55d8c8978136800f6aec7dd9fceba82e182</x:v>
      </x:c>
      <x:c r="B60" s="5"/>
      <x:c r="C60" s="5"/>
      <x:c r="D60" s="5"/>
      <x:c r="E60" s="5"/>
      <x:c r="F60" s="5"/>
      <x:c r="G60" s="5"/>
      <x:c r="H60" s="5"/>
      <x:c r="I60" s="5"/>
      <x:c r="J60" s="5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</x:sheetData>
  <x:mergeCells>
    <x:mergeCell ref="A4:J4"/>
    <x:mergeCell ref="A28:J28"/>
    <x:mergeCell ref="A30:J30"/>
    <x:mergeCell ref="A32:J32"/>
    <x:mergeCell ref="A34:J34"/>
    <x:mergeCell ref="A36:J36"/>
    <x:mergeCell ref="A38:J38"/>
    <x:mergeCell ref="A40:J40"/>
    <x:mergeCell ref="A42:J42"/>
    <x:mergeCell ref="A44:J44"/>
    <x:mergeCell ref="A46:J46"/>
    <x:mergeCell ref="A48:J48"/>
    <x:mergeCell ref="A50:J50"/>
    <x:mergeCell ref="A52:J52"/>
    <x:mergeCell ref="A54:J54"/>
    <x:mergeCell ref="A56:J56"/>
    <x:mergeCell ref="A58:J58"/>
    <x:mergeCell ref="A60:J6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5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3" t="str">
        <x:v>环境变量相关性与区域内敏感性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8" customHeight="1">
      <x:c r="A4" s="5" t="str">
        <x:v>系数取值 −1 至 1；蓝色为负相关，红色为正相关。完整矩阵 n=143；系数接近零不证明独立。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A6" s="35" t="str">
        <x:v>Pearson 相关矩阵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38" customHeight="1">
      <x:c r="A8" s="9" t="str">
        <x:v>变量</x:v>
      </x:c>
      <x:c r="B8" s="9" t="str">
        <x:v>BD</x:v>
      </x:c>
      <x:c r="C8" s="9" t="str">
        <x:v>POR</x:v>
      </x:c>
      <x:c r="D8" s="9" t="str">
        <x:v>SWC</x:v>
      </x:c>
      <x:c r="E8" s="9" t="str">
        <x:v>LAT</x:v>
      </x:c>
      <x:c r="F8" s="9" t="str">
        <x:v>LON</x:v>
      </x:c>
      <x:c r="G8" s="9" t="str">
        <x:v>SAL</x:v>
      </x:c>
      <x:c r="H8" s="9" t="str">
        <x:v>pH</x:v>
      </x:c>
      <x:c r="I8" s="9" t="str">
        <x:v>CN</x:v>
      </x:c>
      <x:c r="J8" s="9" t="str">
        <x:v>CP</x:v>
      </x:c>
      <x:c r="K8" s="9" t="str">
        <x:v>NP</x:v>
      </x:c>
      <x:c r="L8" s="9" t="str">
        <x:v>SOC</x:v>
      </x:c>
      <x:c r="M8" s="9" t="str">
        <x:v>TN</x:v>
      </x:c>
      <x:c r="N8" s="9" t="str">
        <x:v>TP</x:v>
      </x:c>
      <x:c r="O8" s="9" t="str">
        <x:v>MAT</x:v>
      </x:c>
      <x:c r="P8" s="9" t="str">
        <x:v>MAP</x:v>
      </x:c>
      <x:c r="Q8" s="9" t="str">
        <x:v>DCOAST</x:v>
      </x:c>
      <x:c r="R8" s="9" t="str">
        <x:v>DEST</x:v>
      </x:c>
    </x:row>
    <x:row r="9" ht="24" customHeight="1">
      <x:c r="A9" s="2" t="str">
        <x:v>BD</x:v>
      </x:c>
      <x:c r="B9" s="37" t="n">
        <x:v>0.9999999999999999</x:v>
      </x:c>
      <x:c r="C9" s="37" t="n">
        <x:v>-0.999999058614228</x:v>
      </x:c>
      <x:c r="D9" s="37" t="n">
        <x:v>-0.8992647220262283</x:v>
      </x:c>
      <x:c r="E9" s="37" t="n">
        <x:v>-0.34813485150035056</x:v>
      </x:c>
      <x:c r="F9" s="37" t="n">
        <x:v>-0.43153887409455854</x:v>
      </x:c>
      <x:c r="G9" s="37" t="n">
        <x:v>0.30931044264493057</x:v>
      </x:c>
      <x:c r="H9" s="37" t="n">
        <x:v>0.10458244685394887</x:v>
      </x:c>
      <x:c r="I9" s="37" t="n">
        <x:v>0.028375831580060518</x:v>
      </x:c>
      <x:c r="J9" s="37" t="n">
        <x:v>-0.1025325773205858</x:v>
      </x:c>
      <x:c r="K9" s="37" t="n">
        <x:v>-0.16137765118081793</x:v>
      </x:c>
      <x:c r="L9" s="37" t="n">
        <x:v>-0.22375174518613952</x:v>
      </x:c>
      <x:c r="M9" s="37" t="n">
        <x:v>0.05692116421695677</x:v>
      </x:c>
      <x:c r="N9" s="37" t="n">
        <x:v>0.2332942110651369</x:v>
      </x:c>
      <x:c r="O9" s="37" t="n">
        <x:v>-0.28812639323427486</x:v>
      </x:c>
      <x:c r="P9" s="37" t="n">
        <x:v>-0.43978179089380065</x:v>
      </x:c>
      <x:c r="Q9" s="37" t="n">
        <x:v>0.017429005542701537</x:v>
      </x:c>
      <x:c r="R9" s="37" t="n">
        <x:v>0.05184380315750046</x:v>
      </x:c>
    </x:row>
    <x:row r="10" ht="24" customHeight="1">
      <x:c r="A10" s="2" t="str">
        <x:v>POR</x:v>
      </x:c>
      <x:c r="B10" s="37" t="n">
        <x:v>-0.999999058614228</x:v>
      </x:c>
      <x:c r="C10" s="37" t="n">
        <x:v>0.9999999999999999</x:v>
      </x:c>
      <x:c r="D10" s="37" t="n">
        <x:v>0.8992549327332781</x:v>
      </x:c>
      <x:c r="E10" s="37" t="n">
        <x:v>0.34803699194948157</x:v>
      </x:c>
      <x:c r="F10" s="37" t="n">
        <x:v>0.4314642473053425</x:v>
      </x:c>
      <x:c r="G10" s="37" t="n">
        <x:v>-0.3092677670810614</x:v>
      </x:c>
      <x:c r="H10" s="37" t="n">
        <x:v>-0.10480830554367004</x:v>
      </x:c>
      <x:c r="I10" s="37" t="n">
        <x:v>-0.028402682241862456</x:v>
      </x:c>
      <x:c r="J10" s="37" t="n">
        <x:v>0.10258301416887304</x:v>
      </x:c>
      <x:c r="K10" s="37" t="n">
        <x:v>0.161472025403245</x:v>
      </x:c>
      <x:c r="L10" s="37" t="n">
        <x:v>0.22373249669242293</x:v>
      </x:c>
      <x:c r="M10" s="37" t="n">
        <x:v>-0.05669787108754244</x:v>
      </x:c>
      <x:c r="N10" s="37" t="n">
        <x:v>-0.23312640637779025</x:v>
      </x:c>
      <x:c r="O10" s="37" t="n">
        <x:v>0.28824982530868315</x:v>
      </x:c>
      <x:c r="P10" s="37" t="n">
        <x:v>0.4397161754313545</x:v>
      </x:c>
      <x:c r="Q10" s="37" t="n">
        <x:v>-0.01710132624444937</x:v>
      </x:c>
      <x:c r="R10" s="37" t="n">
        <x:v>-0.0519188667244324</x:v>
      </x:c>
    </x:row>
    <x:row r="11" ht="24" customHeight="1">
      <x:c r="A11" s="2" t="str">
        <x:v>SWC</x:v>
      </x:c>
      <x:c r="B11" s="37" t="n">
        <x:v>-0.8992647220262283</x:v>
      </x:c>
      <x:c r="C11" s="37" t="n">
        <x:v>0.899254932733278</x:v>
      </x:c>
      <x:c r="D11" s="37" t="n">
        <x:v>1</x:v>
      </x:c>
      <x:c r="E11" s="37" t="n">
        <x:v>0.3326369297737642</x:v>
      </x:c>
      <x:c r="F11" s="37" t="n">
        <x:v>0.3826534656812737</x:v>
      </x:c>
      <x:c r="G11" s="37" t="n">
        <x:v>-0.15846815843946802</x:v>
      </x:c>
      <x:c r="H11" s="37" t="n">
        <x:v>-0.14110958156921263</x:v>
      </x:c>
      <x:c r="I11" s="37" t="n">
        <x:v>0.07894731099267902</x:v>
      </x:c>
      <x:c r="J11" s="37" t="n">
        <x:v>0.21673936948939881</x:v>
      </x:c>
      <x:c r="K11" s="37" t="n">
        <x:v>0.2688992468898536</x:v>
      </x:c>
      <x:c r="L11" s="37" t="n">
        <x:v>0.11133461043273365</x:v>
      </x:c>
      <x:c r="M11" s="37" t="n">
        <x:v>0.06175949013147335</x:v>
      </x:c>
      <x:c r="N11" s="37" t="n">
        <x:v>-0.16866631952752817</x:v>
      </x:c>
      <x:c r="O11" s="37" t="n">
        <x:v>0.14305939240862478</x:v>
      </x:c>
      <x:c r="P11" s="37" t="n">
        <x:v>0.3790371269402239</x:v>
      </x:c>
      <x:c r="Q11" s="37" t="n">
        <x:v>-0.03346928215942176</x:v>
      </x:c>
      <x:c r="R11" s="37" t="n">
        <x:v>-0.07080721545974507</x:v>
      </x:c>
    </x:row>
    <x:row r="12" ht="24" customHeight="1">
      <x:c r="A12" s="2" t="str">
        <x:v>LAT</x:v>
      </x:c>
      <x:c r="B12" s="37" t="n">
        <x:v>-0.3481348515003505</x:v>
      </x:c>
      <x:c r="C12" s="37" t="n">
        <x:v>0.34803699194948157</x:v>
      </x:c>
      <x:c r="D12" s="37" t="n">
        <x:v>0.3326369297737642</x:v>
      </x:c>
      <x:c r="E12" s="37" t="n">
        <x:v>1</x:v>
      </x:c>
      <x:c r="F12" s="37" t="n">
        <x:v>0.9632758859938165</x:v>
      </x:c>
      <x:c r="G12" s="37" t="n">
        <x:v>-0.38069171920731915</x:v>
      </x:c>
      <x:c r="H12" s="37" t="n">
        <x:v>0.20631318170642335</x:v>
      </x:c>
      <x:c r="I12" s="37" t="n">
        <x:v>0.07321253952799636</x:v>
      </x:c>
      <x:c r="J12" s="37" t="n">
        <x:v>0.024861361783276435</x:v>
      </x:c>
      <x:c r="K12" s="37" t="n">
        <x:v>0.012882814901900092</x:v>
      </x:c>
      <x:c r="L12" s="37" t="n">
        <x:v>0.04722547134940196</x:v>
      </x:c>
      <x:c r="M12" s="37" t="n">
        <x:v>0.2614486752490283</x:v>
      </x:c>
      <x:c r="N12" s="37" t="n">
        <x:v>-0.4515986507189959</x:v>
      </x:c>
      <x:c r="O12" s="37" t="n">
        <x:v>-0.31133650302391175</x:v>
      </x:c>
      <x:c r="P12" s="37" t="n">
        <x:v>0.9548333369456498</x:v>
      </x:c>
      <x:c r="Q12" s="37" t="n">
        <x:v>-0.3108666878714445</x:v>
      </x:c>
      <x:c r="R12" s="37" t="n">
        <x:v>-0.3441040505515424</x:v>
      </x:c>
    </x:row>
    <x:row r="13" ht="24" customHeight="1">
      <x:c r="A13" s="2" t="str">
        <x:v>LON</x:v>
      </x:c>
      <x:c r="B13" s="37" t="n">
        <x:v>-0.43153887409455854</x:v>
      </x:c>
      <x:c r="C13" s="37" t="n">
        <x:v>0.43146424730534244</x:v>
      </x:c>
      <x:c r="D13" s="37" t="n">
        <x:v>0.3826534656812736</x:v>
      </x:c>
      <x:c r="E13" s="37" t="n">
        <x:v>0.9632758859938165</x:v>
      </x:c>
      <x:c r="F13" s="37" t="n">
        <x:v>1</x:v>
      </x:c>
      <x:c r="G13" s="37" t="n">
        <x:v>-0.442919514316301</x:v>
      </x:c>
      <x:c r="H13" s="37" t="n">
        <x:v>0.21058905468338251</x:v>
      </x:c>
      <x:c r="I13" s="37" t="n">
        <x:v>0.01599608453828881</x:v>
      </x:c>
      <x:c r="J13" s="37" t="n">
        <x:v>-0.05256738867214781</x:v>
      </x:c>
      <x:c r="K13" s="37" t="n">
        <x:v>-0.05473347796460793</x:v>
      </x:c>
      <x:c r="L13" s="37" t="n">
        <x:v>0.17221949583771715</x:v>
      </x:c>
      <x:c r="M13" s="37" t="n">
        <x:v>0.1515891200238276</x:v>
      </x:c>
      <x:c r="N13" s="37" t="n">
        <x:v>-0.5098041882510861</x:v>
      </x:c>
      <x:c r="O13" s="37" t="n">
        <x:v>-0.08685757742559967</x:v>
      </x:c>
      <x:c r="P13" s="37" t="n">
        <x:v>0.993302620072683</x:v>
      </x:c>
      <x:c r="Q13" s="37" t="n">
        <x:v>-0.29520171832670467</x:v>
      </x:c>
      <x:c r="R13" s="37" t="n">
        <x:v>-0.27144061156276394</x:v>
      </x:c>
    </x:row>
    <x:row r="14" ht="24" customHeight="1">
      <x:c r="A14" s="2" t="str">
        <x:v>SAL</x:v>
      </x:c>
      <x:c r="B14" s="37" t="n">
        <x:v>0.30931044264493057</x:v>
      </x:c>
      <x:c r="C14" s="37" t="n">
        <x:v>-0.3092677670810614</x:v>
      </x:c>
      <x:c r="D14" s="37" t="n">
        <x:v>-0.15846815843946802</x:v>
      </x:c>
      <x:c r="E14" s="37" t="n">
        <x:v>-0.3806917192073192</x:v>
      </x:c>
      <x:c r="F14" s="37" t="n">
        <x:v>-0.44291951431630106</x:v>
      </x:c>
      <x:c r="G14" s="37" t="n">
        <x:v>0.9999999999999999</x:v>
      </x:c>
      <x:c r="H14" s="37" t="n">
        <x:v>-0.149585729871251</x:v>
      </x:c>
      <x:c r="I14" s="37" t="n">
        <x:v>0.3363235638713907</x:v>
      </x:c>
      <x:c r="J14" s="37" t="n">
        <x:v>0.40226581937627076</x:v>
      </x:c>
      <x:c r="K14" s="37" t="n">
        <x:v>0.3516004576362011</x:v>
      </x:c>
      <x:c r="L14" s="37" t="n">
        <x:v>-0.5598300126727357</x:v>
      </x:c>
      <x:c r="M14" s="37" t="n">
        <x:v>0.2073279462390054</x:v>
      </x:c>
      <x:c r="N14" s="37" t="n">
        <x:v>0.3399442532558386</x:v>
      </x:c>
      <x:c r="O14" s="37" t="n">
        <x:v>-0.21242014850280255</x:v>
      </x:c>
      <x:c r="P14" s="37" t="n">
        <x:v>-0.4560209383910797</x:v>
      </x:c>
      <x:c r="Q14" s="37" t="n">
        <x:v>-0.029637851304687123</x:v>
      </x:c>
      <x:c r="R14" s="37" t="n">
        <x:v>0.03694832766392949</x:v>
      </x:c>
    </x:row>
    <x:row r="15" ht="24" customHeight="1">
      <x:c r="A15" s="2" t="str">
        <x:v>pH</x:v>
      </x:c>
      <x:c r="B15" s="37" t="n">
        <x:v>0.10458244685394887</x:v>
      </x:c>
      <x:c r="C15" s="37" t="n">
        <x:v>-0.10480830554367004</x:v>
      </x:c>
      <x:c r="D15" s="37" t="n">
        <x:v>-0.14110958156921263</x:v>
      </x:c>
      <x:c r="E15" s="37" t="n">
        <x:v>0.20631318170642335</x:v>
      </x:c>
      <x:c r="F15" s="37" t="n">
        <x:v>0.21058905468338251</x:v>
      </x:c>
      <x:c r="G15" s="37" t="n">
        <x:v>-0.149585729871251</x:v>
      </x:c>
      <x:c r="H15" s="37" t="n">
        <x:v>1</x:v>
      </x:c>
      <x:c r="I15" s="37" t="n">
        <x:v>-0.12741617327112856</x:v>
      </x:c>
      <x:c r="J15" s="37" t="n">
        <x:v>-0.25681067986621087</x:v>
      </x:c>
      <x:c r="K15" s="37" t="n">
        <x:v>-0.28712041502226027</x:v>
      </x:c>
      <x:c r="L15" s="37" t="n">
        <x:v>0.06632820244447979</x:v>
      </x:c>
      <x:c r="M15" s="37" t="n">
        <x:v>0.11975998756753656</x:v>
      </x:c>
      <x:c r="N15" s="37" t="n">
        <x:v>-0.17959452697002903</x:v>
      </x:c>
      <x:c r="O15" s="37" t="n">
        <x:v>-0.04191882367642784</x:v>
      </x:c>
      <x:c r="P15" s="37" t="n">
        <x:v>0.2104435303237679</x:v>
      </x:c>
      <x:c r="Q15" s="37" t="n">
        <x:v>0.004890135347945366</x:v>
      </x:c>
      <x:c r="R15" s="37" t="n">
        <x:v>-0.16288955262177723</x:v>
      </x:c>
    </x:row>
    <x:row r="16" ht="24" customHeight="1">
      <x:c r="A16" s="2" t="str">
        <x:v>CN</x:v>
      </x:c>
      <x:c r="B16" s="37" t="n">
        <x:v>0.028375831580060518</x:v>
      </x:c>
      <x:c r="C16" s="37" t="n">
        <x:v>-0.028402682241862456</x:v>
      </x:c>
      <x:c r="D16" s="37" t="n">
        <x:v>0.078947310992679</x:v>
      </x:c>
      <x:c r="E16" s="37" t="n">
        <x:v>0.07321253952799636</x:v>
      </x:c>
      <x:c r="F16" s="37" t="n">
        <x:v>0.01599608453828881</x:v>
      </x:c>
      <x:c r="G16" s="37" t="n">
        <x:v>0.3363235638713907</x:v>
      </x:c>
      <x:c r="H16" s="37" t="n">
        <x:v>-0.12741617327112856</x:v>
      </x:c>
      <x:c r="I16" s="37" t="n">
        <x:v>1</x:v>
      </x:c>
      <x:c r="J16" s="37" t="n">
        <x:v>0.6470495894644316</x:v>
      </x:c>
      <x:c r="K16" s="37" t="n">
        <x:v>0.39699977676633874</x:v>
      </x:c>
      <x:c r="L16" s="37" t="n">
        <x:v>-0.08694627687217871</x:v>
      </x:c>
      <x:c r="M16" s="37" t="n">
        <x:v>0.07282672540515807</x:v>
      </x:c>
      <x:c r="N16" s="37" t="n">
        <x:v>-0.034653450324716034</x:v>
      </x:c>
      <x:c r="O16" s="37" t="n">
        <x:v>-0.27021609927181006</x:v>
      </x:c>
      <x:c r="P16" s="37" t="n">
        <x:v>0.0039407363658822475</x:v>
      </x:c>
      <x:c r="Q16" s="37" t="n">
        <x:v>-0.27779916487937467</x:v>
      </x:c>
      <x:c r="R16" s="37" t="n">
        <x:v>0.007963196667350432</x:v>
      </x:c>
    </x:row>
    <x:row r="17" ht="24" customHeight="1">
      <x:c r="A17" s="2" t="str">
        <x:v>CP</x:v>
      </x:c>
      <x:c r="B17" s="37" t="n">
        <x:v>-0.1025325773205858</x:v>
      </x:c>
      <x:c r="C17" s="37" t="n">
        <x:v>0.10258301416887304</x:v>
      </x:c>
      <x:c r="D17" s="37" t="n">
        <x:v>0.21673936948939881</x:v>
      </x:c>
      <x:c r="E17" s="37" t="n">
        <x:v>0.02486136178327644</x:v>
      </x:c>
      <x:c r="F17" s="37" t="n">
        <x:v>-0.05256738867214781</x:v>
      </x:c>
      <x:c r="G17" s="37" t="n">
        <x:v>0.4022658193762707</x:v>
      </x:c>
      <x:c r="H17" s="37" t="n">
        <x:v>-0.25681067986621087</x:v>
      </x:c>
      <x:c r="I17" s="37" t="n">
        <x:v>0.6470495894644316</x:v>
      </x:c>
      <x:c r="J17" s="37" t="n">
        <x:v>0.9999999999999999</x:v>
      </x:c>
      <x:c r="K17" s="37" t="n">
        <x:v>0.946843569967391</x:v>
      </x:c>
      <x:c r="L17" s="37" t="n">
        <x:v>-0.1483537609992687</x:v>
      </x:c>
      <x:c r="M17" s="37" t="n">
        <x:v>0.06247158200088394</x:v>
      </x:c>
      <x:c r="N17" s="37" t="n">
        <x:v>-0.03456614855185488</x:v>
      </x:c>
      <x:c r="O17" s="37" t="n">
        <x:v>-0.3668551623270662</x:v>
      </x:c>
      <x:c r="P17" s="37" t="n">
        <x:v>-0.06294313435782567</x:v>
      </x:c>
      <x:c r="Q17" s="37" t="n">
        <x:v>-0.07853896229663573</x:v>
      </x:c>
      <x:c r="R17" s="37" t="n">
        <x:v>0.04834829447050596</x:v>
      </x:c>
    </x:row>
    <x:row r="18" ht="24" customHeight="1">
      <x:c r="A18" s="2" t="str">
        <x:v>NP</x:v>
      </x:c>
      <x:c r="B18" s="37" t="n">
        <x:v>-0.16137765118081793</x:v>
      </x:c>
      <x:c r="C18" s="37" t="n">
        <x:v>0.161472025403245</x:v>
      </x:c>
      <x:c r="D18" s="37" t="n">
        <x:v>0.26889924688985367</x:v>
      </x:c>
      <x:c r="E18" s="37" t="n">
        <x:v>0.01288281490190009</x:v>
      </x:c>
      <x:c r="F18" s="37" t="n">
        <x:v>-0.05473347796460793</x:v>
      </x:c>
      <x:c r="G18" s="37" t="n">
        <x:v>0.3516004576362011</x:v>
      </x:c>
      <x:c r="H18" s="37" t="n">
        <x:v>-0.2871204150222603</x:v>
      </x:c>
      <x:c r="I18" s="37" t="n">
        <x:v>0.39699977676633874</x:v>
      </x:c>
      <x:c r="J18" s="37" t="n">
        <x:v>0.946843569967391</x:v>
      </x:c>
      <x:c r="K18" s="37" t="n">
        <x:v>1</x:v>
      </x:c>
      <x:c r="L18" s="37" t="n">
        <x:v>-0.1406970253066484</x:v>
      </x:c>
      <x:c r="M18" s="37" t="n">
        <x:v>0.056758336730970686</x:v>
      </x:c>
      <x:c r="N18" s="37" t="n">
        <x:v>-0.02348736283072968</x:v>
      </x:c>
      <x:c r="O18" s="37" t="n">
        <x:v>-0.33804347445317906</x:v>
      </x:c>
      <x:c r="P18" s="37" t="n">
        <x:v>-0.06385362385988518</x:v>
      </x:c>
      <x:c r="Q18" s="37" t="n">
        <x:v>0.007254665464428642</x:v>
      </x:c>
      <x:c r="R18" s="37" t="n">
        <x:v>0.0628484387787588</x:v>
      </x:c>
    </x:row>
    <x:row r="19" ht="24" customHeight="1">
      <x:c r="A19" s="2" t="str">
        <x:v>SOC</x:v>
      </x:c>
      <x:c r="B19" s="37" t="n">
        <x:v>-0.22375174518613952</x:v>
      </x:c>
      <x:c r="C19" s="37" t="n">
        <x:v>0.22373249669242293</x:v>
      </x:c>
      <x:c r="D19" s="37" t="n">
        <x:v>0.11133461043273365</x:v>
      </x:c>
      <x:c r="E19" s="37" t="n">
        <x:v>0.047225471349401964</x:v>
      </x:c>
      <x:c r="F19" s="37" t="n">
        <x:v>0.17221949583771715</x:v>
      </x:c>
      <x:c r="G19" s="37" t="n">
        <x:v>-0.5598300126727357</x:v>
      </x:c>
      <x:c r="H19" s="37" t="n">
        <x:v>0.06632820244447979</x:v>
      </x:c>
      <x:c r="I19" s="37" t="n">
        <x:v>-0.08694627687217871</x:v>
      </x:c>
      <x:c r="J19" s="37" t="n">
        <x:v>-0.14835376099926872</x:v>
      </x:c>
      <x:c r="K19" s="37" t="n">
        <x:v>-0.1406970253066484</x:v>
      </x:c>
      <x:c r="L19" s="37" t="n">
        <x:v>1</x:v>
      </x:c>
      <x:c r="M19" s="37" t="n">
        <x:v>-0.4861297738960722</x:v>
      </x:c>
      <x:c r="N19" s="37" t="n">
        <x:v>-0.509008770092241</x:v>
      </x:c>
      <x:c r="O19" s="37" t="n">
        <x:v>0.38124517785506284</x:v>
      </x:c>
      <x:c r="P19" s="37" t="n">
        <x:v>0.16799247635513537</x:v>
      </x:c>
      <x:c r="Q19" s="37" t="n">
        <x:v>0.049253080646476835</x:v>
      </x:c>
      <x:c r="R19" s="37" t="n">
        <x:v>0.3249870156318303</x:v>
      </x:c>
    </x:row>
    <x:row r="20" ht="24" customHeight="1">
      <x:c r="A20" s="2" t="str">
        <x:v>TN</x:v>
      </x:c>
      <x:c r="B20" s="37" t="n">
        <x:v>0.05692116421695677</x:v>
      </x:c>
      <x:c r="C20" s="37" t="n">
        <x:v>-0.05669787108754244</x:v>
      </x:c>
      <x:c r="D20" s="37" t="n">
        <x:v>0.06175949013147335</x:v>
      </x:c>
      <x:c r="E20" s="37" t="n">
        <x:v>0.2614486752490283</x:v>
      </x:c>
      <x:c r="F20" s="37" t="n">
        <x:v>0.1515891200238276</x:v>
      </x:c>
      <x:c r="G20" s="37" t="n">
        <x:v>0.20732794623900538</x:v>
      </x:c>
      <x:c r="H20" s="37" t="n">
        <x:v>0.11975998756753657</x:v>
      </x:c>
      <x:c r="I20" s="37" t="n">
        <x:v>0.07282672540515807</x:v>
      </x:c>
      <x:c r="J20" s="37" t="n">
        <x:v>0.062471582000883936</x:v>
      </x:c>
      <x:c r="K20" s="37" t="n">
        <x:v>0.05675833673097069</x:v>
      </x:c>
      <x:c r="L20" s="37" t="n">
        <x:v>-0.4861297738960722</x:v>
      </x:c>
      <x:c r="M20" s="37" t="n">
        <x:v>0.9999999999999999</x:v>
      </x:c>
      <x:c r="N20" s="37" t="n">
        <x:v>0.3845298356972103</x:v>
      </x:c>
      <x:c r="O20" s="37" t="n">
        <x:v>-0.3887465107904317</x:v>
      </x:c>
      <x:c r="P20" s="37" t="n">
        <x:v>0.14717346441366286</x:v>
      </x:c>
      <x:c r="Q20" s="37" t="n">
        <x:v>-0.11837937427558669</x:v>
      </x:c>
      <x:c r="R20" s="37" t="n">
        <x:v>-0.17995326862209812</x:v>
      </x:c>
    </x:row>
    <x:row r="21" ht="24" customHeight="1">
      <x:c r="A21" s="2" t="str">
        <x:v>TP</x:v>
      </x:c>
      <x:c r="B21" s="37" t="n">
        <x:v>0.23329421106513687</x:v>
      </x:c>
      <x:c r="C21" s="37" t="n">
        <x:v>-0.23312640637779022</x:v>
      </x:c>
      <x:c r="D21" s="37" t="n">
        <x:v>-0.16866631952752817</x:v>
      </x:c>
      <x:c r="E21" s="37" t="n">
        <x:v>-0.45159865071899585</x:v>
      </x:c>
      <x:c r="F21" s="37" t="n">
        <x:v>-0.509804188251086</x:v>
      </x:c>
      <x:c r="G21" s="37" t="n">
        <x:v>0.3399442532558386</x:v>
      </x:c>
      <x:c r="H21" s="37" t="n">
        <x:v>-0.17959452697002903</x:v>
      </x:c>
      <x:c r="I21" s="37" t="n">
        <x:v>-0.034653450324716034</x:v>
      </x:c>
      <x:c r="J21" s="37" t="n">
        <x:v>-0.03456614855185488</x:v>
      </x:c>
      <x:c r="K21" s="37" t="n">
        <x:v>-0.02348736283072968</x:v>
      </x:c>
      <x:c r="L21" s="37" t="n">
        <x:v>-0.509008770092241</x:v>
      </x:c>
      <x:c r="M21" s="37" t="n">
        <x:v>0.3845298356972103</x:v>
      </x:c>
      <x:c r="N21" s="37" t="n">
        <x:v>1</x:v>
      </x:c>
      <x:c r="O21" s="37" t="n">
        <x:v>-0.07281489372310512</x:v>
      </x:c>
      <x:c r="P21" s="37" t="n">
        <x:v>-0.5126754290503822</x:v>
      </x:c>
      <x:c r="Q21" s="37" t="n">
        <x:v>0.04274025536721759</x:v>
      </x:c>
      <x:c r="R21" s="37" t="n">
        <x:v>0.06403065970083816</x:v>
      </x:c>
    </x:row>
    <x:row r="22" ht="24" customHeight="1">
      <x:c r="A22" s="2" t="str">
        <x:v>MAT</x:v>
      </x:c>
      <x:c r="B22" s="37" t="n">
        <x:v>-0.2881263932342748</x:v>
      </x:c>
      <x:c r="C22" s="37" t="n">
        <x:v>0.2882498253086831</x:v>
      </x:c>
      <x:c r="D22" s="37" t="n">
        <x:v>0.1430593924086248</x:v>
      </x:c>
      <x:c r="E22" s="37" t="n">
        <x:v>-0.31133650302391175</x:v>
      </x:c>
      <x:c r="F22" s="37" t="n">
        <x:v>-0.08685757742559966</x:v>
      </x:c>
      <x:c r="G22" s="37" t="n">
        <x:v>-0.21242014850280252</x:v>
      </x:c>
      <x:c r="H22" s="37" t="n">
        <x:v>-0.04191882367642784</x:v>
      </x:c>
      <x:c r="I22" s="37" t="n">
        <x:v>-0.2702160992718101</x:v>
      </x:c>
      <x:c r="J22" s="37" t="n">
        <x:v>-0.3668551623270662</x:v>
      </x:c>
      <x:c r="K22" s="37" t="n">
        <x:v>-0.338043474453179</x:v>
      </x:c>
      <x:c r="L22" s="37" t="n">
        <x:v>0.3812451778550628</x:v>
      </x:c>
      <x:c r="M22" s="37" t="n">
        <x:v>-0.3887465107904317</x:v>
      </x:c>
      <x:c r="N22" s="37" t="n">
        <x:v>-0.07281489372310512</x:v>
      </x:c>
      <x:c r="O22" s="37" t="n">
        <x:v>1</x:v>
      </x:c>
      <x:c r="P22" s="37" t="n">
        <x:v>-0.048673388863746586</x:v>
      </x:c>
      <x:c r="Q22" s="37" t="n">
        <x:v>0.11844546851273739</x:v>
      </x:c>
      <x:c r="R22" s="37" t="n">
        <x:v>0.21483886820281012</x:v>
      </x:c>
    </x:row>
    <x:row r="23" ht="24" customHeight="1">
      <x:c r="A23" s="2" t="str">
        <x:v>MAP</x:v>
      </x:c>
      <x:c r="B23" s="37" t="n">
        <x:v>-0.43978179089380065</x:v>
      </x:c>
      <x:c r="C23" s="37" t="n">
        <x:v>0.4397161754313545</x:v>
      </x:c>
      <x:c r="D23" s="37" t="n">
        <x:v>0.37903712694022396</x:v>
      </x:c>
      <x:c r="E23" s="37" t="n">
        <x:v>0.9548333369456496</x:v>
      </x:c>
      <x:c r="F23" s="37" t="n">
        <x:v>0.993302620072683</x:v>
      </x:c>
      <x:c r="G23" s="37" t="n">
        <x:v>-0.4560209383910797</x:v>
      </x:c>
      <x:c r="H23" s="37" t="n">
        <x:v>0.2104435303237679</x:v>
      </x:c>
      <x:c r="I23" s="37" t="n">
        <x:v>0.0039407363658822475</x:v>
      </x:c>
      <x:c r="J23" s="37" t="n">
        <x:v>-0.06294313435782567</x:v>
      </x:c>
      <x:c r="K23" s="37" t="n">
        <x:v>-0.06385362385988518</x:v>
      </x:c>
      <x:c r="L23" s="37" t="n">
        <x:v>0.16799247635513534</x:v>
      </x:c>
      <x:c r="M23" s="37" t="n">
        <x:v>0.14717346441366286</x:v>
      </x:c>
      <x:c r="N23" s="37" t="n">
        <x:v>-0.5126754290503822</x:v>
      </x:c>
      <x:c r="O23" s="37" t="n">
        <x:v>-0.04867338886374658</x:v>
      </x:c>
      <x:c r="P23" s="37" t="n">
        <x:v>1</x:v>
      </x:c>
      <x:c r="Q23" s="37" t="n">
        <x:v>-0.2866179697345724</x:v>
      </x:c>
      <x:c r="R23" s="37" t="n">
        <x:v>-0.2653322057357961</x:v>
      </x:c>
    </x:row>
    <x:row r="24" ht="24" customHeight="1">
      <x:c r="A24" s="2" t="str">
        <x:v>DCOAST</x:v>
      </x:c>
      <x:c r="B24" s="37" t="n">
        <x:v>0.017429005542701537</x:v>
      </x:c>
      <x:c r="C24" s="37" t="n">
        <x:v>-0.017101326244449367</x:v>
      </x:c>
      <x:c r="D24" s="37" t="n">
        <x:v>-0.03346928215942176</x:v>
      </x:c>
      <x:c r="E24" s="37" t="n">
        <x:v>-0.31086668787144445</x:v>
      </x:c>
      <x:c r="F24" s="37" t="n">
        <x:v>-0.29520171832670467</x:v>
      </x:c>
      <x:c r="G24" s="37" t="n">
        <x:v>-0.02963785130468712</x:v>
      </x:c>
      <x:c r="H24" s="37" t="n">
        <x:v>0.004890135347945366</x:v>
      </x:c>
      <x:c r="I24" s="37" t="n">
        <x:v>-0.27779916487937467</x:v>
      </x:c>
      <x:c r="J24" s="37" t="n">
        <x:v>-0.07853896229663573</x:v>
      </x:c>
      <x:c r="K24" s="37" t="n">
        <x:v>0.007254665464428642</x:v>
      </x:c>
      <x:c r="L24" s="37" t="n">
        <x:v>0.049253080646476835</x:v>
      </x:c>
      <x:c r="M24" s="37" t="n">
        <x:v>-0.11837937427558669</x:v>
      </x:c>
      <x:c r="N24" s="37" t="n">
        <x:v>0.04274025536721759</x:v>
      </x:c>
      <x:c r="O24" s="37" t="n">
        <x:v>0.1184454685127374</x:v>
      </x:c>
      <x:c r="P24" s="37" t="n">
        <x:v>-0.2866179697345724</x:v>
      </x:c>
      <x:c r="Q24" s="37" t="n">
        <x:v>1</x:v>
      </x:c>
      <x:c r="R24" s="37" t="n">
        <x:v>-0.013299383557527415</x:v>
      </x:c>
    </x:row>
    <x:row r="25" ht="24" customHeight="1">
      <x:c r="A25" s="2" t="str">
        <x:v>DEST</x:v>
      </x:c>
      <x:c r="B25" s="37" t="n">
        <x:v>0.05184380315750046</x:v>
      </x:c>
      <x:c r="C25" s="37" t="n">
        <x:v>-0.0519188667244324</x:v>
      </x:c>
      <x:c r="D25" s="37" t="n">
        <x:v>-0.07080721545974507</x:v>
      </x:c>
      <x:c r="E25" s="37" t="n">
        <x:v>-0.3441040505515424</x:v>
      </x:c>
      <x:c r="F25" s="37" t="n">
        <x:v>-0.271440611562764</x:v>
      </x:c>
      <x:c r="G25" s="37" t="n">
        <x:v>0.03694832766392949</x:v>
      </x:c>
      <x:c r="H25" s="37" t="n">
        <x:v>-0.16288955262177723</x:v>
      </x:c>
      <x:c r="I25" s="37" t="n">
        <x:v>0.007963196667350432</x:v>
      </x:c>
      <x:c r="J25" s="37" t="n">
        <x:v>0.04834829447050596</x:v>
      </x:c>
      <x:c r="K25" s="37" t="n">
        <x:v>0.0628484387787588</x:v>
      </x:c>
      <x:c r="L25" s="37" t="n">
        <x:v>0.3249870156318303</x:v>
      </x:c>
      <x:c r="M25" s="37" t="n">
        <x:v>-0.17995326862209812</x:v>
      </x:c>
      <x:c r="N25" s="37" t="n">
        <x:v>0.06403065970083816</x:v>
      </x:c>
      <x:c r="O25" s="37" t="n">
        <x:v>0.2148388682028101</x:v>
      </x:c>
      <x:c r="P25" s="37" t="n">
        <x:v>-0.2653322057357961</x:v>
      </x:c>
      <x:c r="Q25" s="37" t="n">
        <x:v>-0.013299383557527415</x:v>
      </x:c>
      <x:c r="R25" s="37" t="n">
        <x:v>1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A29" s="35" t="str">
        <x:v>Spearman 秩相关矩阵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38" customHeight="1">
      <x:c r="A31" s="9" t="str">
        <x:v>变量</x:v>
      </x:c>
      <x:c r="B31" s="9" t="str">
        <x:v>BD</x:v>
      </x:c>
      <x:c r="C31" s="9" t="str">
        <x:v>POR</x:v>
      </x:c>
      <x:c r="D31" s="9" t="str">
        <x:v>SWC</x:v>
      </x:c>
      <x:c r="E31" s="9" t="str">
        <x:v>LAT</x:v>
      </x:c>
      <x:c r="F31" s="9" t="str">
        <x:v>LON</x:v>
      </x:c>
      <x:c r="G31" s="9" t="str">
        <x:v>SAL</x:v>
      </x:c>
      <x:c r="H31" s="9" t="str">
        <x:v>pH</x:v>
      </x:c>
      <x:c r="I31" s="9" t="str">
        <x:v>CN</x:v>
      </x:c>
      <x:c r="J31" s="9" t="str">
        <x:v>CP</x:v>
      </x:c>
      <x:c r="K31" s="9" t="str">
        <x:v>NP</x:v>
      </x:c>
      <x:c r="L31" s="9" t="str">
        <x:v>SOC</x:v>
      </x:c>
      <x:c r="M31" s="9" t="str">
        <x:v>TN</x:v>
      </x:c>
      <x:c r="N31" s="9" t="str">
        <x:v>TP</x:v>
      </x:c>
      <x:c r="O31" s="9" t="str">
        <x:v>MAT</x:v>
      </x:c>
      <x:c r="P31" s="9" t="str">
        <x:v>MAP</x:v>
      </x:c>
      <x:c r="Q31" s="9" t="str">
        <x:v>DCOAST</x:v>
      </x:c>
      <x:c r="R31" s="9" t="str">
        <x:v>DEST</x:v>
      </x:c>
    </x:row>
    <x:row r="32" ht="24" customHeight="1">
      <x:c r="A32" s="2" t="str">
        <x:v>BD</x:v>
      </x:c>
      <x:c r="B32" s="37" t="n">
        <x:v>1</x:v>
      </x:c>
      <x:c r="C32" s="37" t="n">
        <x:v>-0.9999887141115156</x:v>
      </x:c>
      <x:c r="D32" s="37" t="n">
        <x:v>-0.911245857727701</x:v>
      </x:c>
      <x:c r="E32" s="37" t="n">
        <x:v>-0.1210317338382393</x:v>
      </x:c>
      <x:c r="F32" s="37" t="n">
        <x:v>-0.4789354346390101</x:v>
      </x:c>
      <x:c r="G32" s="37" t="n">
        <x:v>0.2988218059634429</x:v>
      </x:c>
      <x:c r="H32" s="37" t="n">
        <x:v>0.05046665748796358</x:v>
      </x:c>
      <x:c r="I32" s="37" t="n">
        <x:v>-0.07608057751760626</x:v>
      </x:c>
      <x:c r="J32" s="37" t="n">
        <x:v>-0.22589515008017103</x:v>
      </x:c>
      <x:c r="K32" s="37" t="n">
        <x:v>-0.25665114273407624</x:v>
      </x:c>
      <x:c r="L32" s="37" t="n">
        <x:v>-0.18576133463723665</x:v>
      </x:c>
      <x:c r="M32" s="37" t="n">
        <x:v>-0.03896908697967215</x:v>
      </x:c>
      <x:c r="N32" s="37" t="n">
        <x:v>0.2253665343526098</x:v>
      </x:c>
      <x:c r="O32" s="37" t="n">
        <x:v>-0.14272091531694267</x:v>
      </x:c>
      <x:c r="P32" s="37" t="n">
        <x:v>-0.43113301650190555</x:v>
      </x:c>
      <x:c r="Q32" s="37" t="n">
        <x:v>0.11824104570742187</x:v>
      </x:c>
      <x:c r="R32" s="37" t="n">
        <x:v>0.08105512636427938</x:v>
      </x:c>
    </x:row>
    <x:row r="33" ht="24" customHeight="1">
      <x:c r="A33" s="2" t="str">
        <x:v>POR</x:v>
      </x:c>
      <x:c r="B33" s="37" t="n">
        <x:v>-0.9999887141115156</x:v>
      </x:c>
      <x:c r="C33" s="37" t="n">
        <x:v>0.9999999999999998</x:v>
      </x:c>
      <x:c r="D33" s="37" t="n">
        <x:v>0.911371002433523</x:v>
      </x:c>
      <x:c r="E33" s="37" t="n">
        <x:v>0.12052148344230519</x:v>
      </x:c>
      <x:c r="F33" s="37" t="n">
        <x:v>0.4789526009145958</x:v>
      </x:c>
      <x:c r="G33" s="37" t="n">
        <x:v>-0.29848284653765933</x:v>
      </x:c>
      <x:c r="H33" s="37" t="n">
        <x:v>-0.05044761683999439</x:v>
      </x:c>
      <x:c r="I33" s="37" t="n">
        <x:v>0.07546412906870363</x:v>
      </x:c>
      <x:c r="J33" s="37" t="n">
        <x:v>0.22586592523102067</x:v>
      </x:c>
      <x:c r="K33" s="37" t="n">
        <x:v>0.2568267776843769</x:v>
      </x:c>
      <x:c r="L33" s="37" t="n">
        <x:v>0.1853201201261318</x:v>
      </x:c>
      <x:c r="M33" s="37" t="n">
        <x:v>0.03962732422299818</x:v>
      </x:c>
      <x:c r="N33" s="37" t="n">
        <x:v>-0.22490230137414519</x:v>
      </x:c>
      <x:c r="O33" s="37" t="n">
        <x:v>0.14283229587950516</x:v>
      </x:c>
      <x:c r="P33" s="37" t="n">
        <x:v>0.4309040471243858</x:v>
      </x:c>
      <x:c r="Q33" s="37" t="n">
        <x:v>-0.11738199472745497</x:v>
      </x:c>
      <x:c r="R33" s="37" t="n">
        <x:v>-0.08100701665676895</x:v>
      </x:c>
    </x:row>
    <x:row r="34" ht="24" customHeight="1">
      <x:c r="A34" s="2" t="str">
        <x:v>SWC</x:v>
      </x:c>
      <x:c r="B34" s="37" t="n">
        <x:v>-0.911245857727701</x:v>
      </x:c>
      <x:c r="C34" s="37" t="n">
        <x:v>0.911371002433523</x:v>
      </x:c>
      <x:c r="D34" s="37" t="n">
        <x:v>0.9999999999999998</x:v>
      </x:c>
      <x:c r="E34" s="37" t="n">
        <x:v>0.11023835319609968</x:v>
      </x:c>
      <x:c r="F34" s="37" t="n">
        <x:v>0.38302718408352204</x:v>
      </x:c>
      <x:c r="G34" s="37" t="n">
        <x:v>-0.15604888543793355</x:v>
      </x:c>
      <x:c r="H34" s="37" t="n">
        <x:v>-0.1428009995942741</x:v>
      </x:c>
      <x:c r="I34" s="37" t="n">
        <x:v>0.12245224596561893</x:v>
      </x:c>
      <x:c r="J34" s="37" t="n">
        <x:v>0.28492223657455795</x:v>
      </x:c>
      <x:c r="K34" s="37" t="n">
        <x:v>0.3046279344571231</x:v>
      </x:c>
      <x:c r="L34" s="37" t="n">
        <x:v>0.09454102235792376</x:v>
      </x:c>
      <x:c r="M34" s="37" t="n">
        <x:v>0.07898322334942053</x:v>
      </x:c>
      <x:c r="N34" s="37" t="n">
        <x:v>-0.14826488065924687</x:v>
      </x:c>
      <x:c r="O34" s="37" t="n">
        <x:v>0.11575772307247889</x:v>
      </x:c>
      <x:c r="P34" s="37" t="n">
        <x:v>0.3393460135564188</x:v>
      </x:c>
      <x:c r="Q34" s="37" t="n">
        <x:v>-0.10016743819560721</x:v>
      </x:c>
      <x:c r="R34" s="37" t="n">
        <x:v>-0.09979808923470895</x:v>
      </x:c>
    </x:row>
    <x:row r="35" ht="24" customHeight="1">
      <x:c r="A35" s="2" t="str">
        <x:v>LAT</x:v>
      </x:c>
      <x:c r="B35" s="37" t="n">
        <x:v>-0.1210317338382393</x:v>
      </x:c>
      <x:c r="C35" s="37" t="n">
        <x:v>0.12052148344230519</x:v>
      </x:c>
      <x:c r="D35" s="37" t="n">
        <x:v>0.11023835319609968</x:v>
      </x:c>
      <x:c r="E35" s="37" t="n">
        <x:v>0.9999999999999998</x:v>
      </x:c>
      <x:c r="F35" s="37" t="n">
        <x:v>-0.15332496142355295</x:v>
      </x:c>
      <x:c r="G35" s="37" t="n">
        <x:v>-0.06279781181785661</x:v>
      </x:c>
      <x:c r="H35" s="37" t="n">
        <x:v>0.15193386030416947</x:v>
      </x:c>
      <x:c r="I35" s="37" t="n">
        <x:v>0.23965354854652682</x:v>
      </x:c>
      <x:c r="J35" s="37" t="n">
        <x:v>0.26588022616505236</x:v>
      </x:c>
      <x:c r="K35" s="37" t="n">
        <x:v>0.23863126893512202</x:v>
      </x:c>
      <x:c r="L35" s="37" t="n">
        <x:v>-0.18785908926753997</x:v>
      </x:c>
      <x:c r="M35" s="37" t="n">
        <x:v>0.38884648215634127</x:v>
      </x:c>
      <x:c r="N35" s="37" t="n">
        <x:v>-0.1593371417315079</x:v>
      </x:c>
      <x:c r="O35" s="37" t="n">
        <x:v>-0.7640621925766474</x:v>
      </x:c>
      <x:c r="P35" s="37" t="n">
        <x:v>0.11023764823946287</x:v>
      </x:c>
      <x:c r="Q35" s="37" t="n">
        <x:v>-0.26272612364161657</x:v>
      </x:c>
      <x:c r="R35" s="37" t="n">
        <x:v>-0.3166182409140155</x:v>
      </x:c>
    </x:row>
    <x:row r="36" ht="24" customHeight="1">
      <x:c r="A36" s="2" t="str">
        <x:v>LON</x:v>
      </x:c>
      <x:c r="B36" s="37" t="n">
        <x:v>-0.4789354346390101</x:v>
      </x:c>
      <x:c r="C36" s="37" t="n">
        <x:v>0.47895260091459585</x:v>
      </x:c>
      <x:c r="D36" s="37" t="n">
        <x:v>0.38302718408352204</x:v>
      </x:c>
      <x:c r="E36" s="37" t="n">
        <x:v>-0.15332496142355295</x:v>
      </x:c>
      <x:c r="F36" s="37" t="n">
        <x:v>0.9999999999999998</x:v>
      </x:c>
      <x:c r="G36" s="37" t="n">
        <x:v>-0.44765735541687107</x:v>
      </x:c>
      <x:c r="H36" s="37" t="n">
        <x:v>0.15743820466909966</x:v>
      </x:c>
      <x:c r="I36" s="37" t="n">
        <x:v>-0.13278382077688128</x:v>
      </x:c>
      <x:c r="J36" s="37" t="n">
        <x:v>-0.2074450567208821</x:v>
      </x:c>
      <x:c r="K36" s="37" t="n">
        <x:v>-0.1958578944710012</x:v>
      </x:c>
      <x:c r="L36" s="37" t="n">
        <x:v>0.35198545585869523</x:v>
      </x:c>
      <x:c r="M36" s="37" t="n">
        <x:v>-0.14808431005614103</x:v>
      </x:c>
      <x:c r="N36" s="37" t="n">
        <x:v>-0.40706769756065525</x:v>
      </x:c>
      <x:c r="O36" s="37" t="n">
        <x:v>0.5571067687812643</x:v>
      </x:c>
      <x:c r="P36" s="37" t="n">
        <x:v>0.8078919982608865</x:v>
      </x:c>
      <x:c r="Q36" s="37" t="n">
        <x:v>-0.27461505630519717</x:v>
      </x:c>
      <x:c r="R36" s="37" t="n">
        <x:v>-0.05781952788995042</x:v>
      </x:c>
    </x:row>
    <x:row r="37" ht="24" customHeight="1">
      <x:c r="A37" s="2" t="str">
        <x:v>SAL</x:v>
      </x:c>
      <x:c r="B37" s="37" t="n">
        <x:v>0.2988218059634429</x:v>
      </x:c>
      <x:c r="C37" s="37" t="n">
        <x:v>-0.29848284653765933</x:v>
      </x:c>
      <x:c r="D37" s="37" t="n">
        <x:v>-0.15604888543793355</x:v>
      </x:c>
      <x:c r="E37" s="37" t="n">
        <x:v>-0.06279781181785661</x:v>
      </x:c>
      <x:c r="F37" s="37" t="n">
        <x:v>-0.44765735541687107</x:v>
      </x:c>
      <x:c r="G37" s="37" t="n">
        <x:v>1</x:v>
      </x:c>
      <x:c r="H37" s="37" t="n">
        <x:v>-0.14138043390005975</x:v>
      </x:c>
      <x:c r="I37" s="37" t="n">
        <x:v>0.31074905957328736</x:v>
      </x:c>
      <x:c r="J37" s="37" t="n">
        <x:v>0.4250545151236981</x:v>
      </x:c>
      <x:c r="K37" s="37" t="n">
        <x:v>0.41026101827099976</x:v>
      </x:c>
      <x:c r="L37" s="37" t="n">
        <x:v>-0.6206491174128863</x:v>
      </x:c>
      <x:c r="M37" s="37" t="n">
        <x:v>0.20679672623997386</x:v>
      </x:c>
      <x:c r="N37" s="37" t="n">
        <x:v>0.34755787124525744</x:v>
      </x:c>
      <x:c r="O37" s="37" t="n">
        <x:v>-0.15068818474039206</x:v>
      </x:c>
      <x:c r="P37" s="37" t="n">
        <x:v>-0.43589809213372066</x:v>
      </x:c>
      <x:c r="Q37" s="37" t="n">
        <x:v>-0.07545059211089529</x:v>
      </x:c>
      <x:c r="R37" s="37" t="n">
        <x:v>-0.09822269652500376</x:v>
      </x:c>
    </x:row>
    <x:row r="38" ht="24" customHeight="1">
      <x:c r="A38" s="2" t="str">
        <x:v>pH</x:v>
      </x:c>
      <x:c r="B38" s="37" t="n">
        <x:v>0.050466657487963584</x:v>
      </x:c>
      <x:c r="C38" s="37" t="n">
        <x:v>-0.05044761683999438</x:v>
      </x:c>
      <x:c r="D38" s="37" t="n">
        <x:v>-0.1428009995942741</x:v>
      </x:c>
      <x:c r="E38" s="37" t="n">
        <x:v>0.15193386030416947</x:v>
      </x:c>
      <x:c r="F38" s="37" t="n">
        <x:v>0.15743820466909966</x:v>
      </x:c>
      <x:c r="G38" s="37" t="n">
        <x:v>-0.14138043390005975</x:v>
      </x:c>
      <x:c r="H38" s="37" t="n">
        <x:v>1</x:v>
      </x:c>
      <x:c r="I38" s="37" t="n">
        <x:v>-0.13259558744648786</x:v>
      </x:c>
      <x:c r="J38" s="37" t="n">
        <x:v>-0.2283935835610472</x:v>
      </x:c>
      <x:c r="K38" s="37" t="n">
        <x:v>-0.22438631594935016</x:v>
      </x:c>
      <x:c r="L38" s="37" t="n">
        <x:v>0.040874169415342956</x:v>
      </x:c>
      <x:c r="M38" s="37" t="n">
        <x:v>0.049030121878516936</x:v>
      </x:c>
      <x:c r="N38" s="37" t="n">
        <x:v>-0.15054853873581456</x:v>
      </x:c>
      <x:c r="O38" s="37" t="n">
        <x:v>-0.07213654587820509</x:v>
      </x:c>
      <x:c r="P38" s="37" t="n">
        <x:v>0.15617531811591973</x:v>
      </x:c>
      <x:c r="Q38" s="37" t="n">
        <x:v>-0.12033416224793149</x:v>
      </x:c>
      <x:c r="R38" s="37" t="n">
        <x:v>-0.16616675671386033</x:v>
      </x:c>
    </x:row>
    <x:row r="39" ht="24" customHeight="1">
      <x:c r="A39" s="2" t="str">
        <x:v>CN</x:v>
      </x:c>
      <x:c r="B39" s="37" t="n">
        <x:v>-0.07608057751760627</x:v>
      </x:c>
      <x:c r="C39" s="37" t="n">
        <x:v>0.07546412906870364</x:v>
      </x:c>
      <x:c r="D39" s="37" t="n">
        <x:v>0.12245224596561893</x:v>
      </x:c>
      <x:c r="E39" s="37" t="n">
        <x:v>0.2396535485465268</x:v>
      </x:c>
      <x:c r="F39" s="37" t="n">
        <x:v>-0.13278382077688128</x:v>
      </x:c>
      <x:c r="G39" s="37" t="n">
        <x:v>0.31074905957328736</x:v>
      </x:c>
      <x:c r="H39" s="37" t="n">
        <x:v>-0.13259558744648786</x:v>
      </x:c>
      <x:c r="I39" s="37" t="n">
        <x:v>1</x:v>
      </x:c>
      <x:c r="J39" s="37" t="n">
        <x:v>0.7637473183634387</x:v>
      </x:c>
      <x:c r="K39" s="37" t="n">
        <x:v>0.5510030082713497</x:v>
      </x:c>
      <x:c r="L39" s="37" t="n">
        <x:v>-0.08289472874386812</x:v>
      </x:c>
      <x:c r="M39" s="37" t="n">
        <x:v>0.05874941775993089</x:v>
      </x:c>
      <x:c r="N39" s="37" t="n">
        <x:v>-0.019969590082066547</x:v>
      </x:c>
      <x:c r="O39" s="37" t="n">
        <x:v>-0.22612102893251962</x:v>
      </x:c>
      <x:c r="P39" s="37" t="n">
        <x:v>-0.11779102358602801</x:v>
      </x:c>
      <x:c r="Q39" s="37" t="n">
        <x:v>-0.3201126110935789</x:v>
      </x:c>
      <x:c r="R39" s="37" t="n">
        <x:v>-0.042042430249841924</x:v>
      </x:c>
    </x:row>
    <x:row r="40" ht="24" customHeight="1">
      <x:c r="A40" s="2" t="str">
        <x:v>CP</x:v>
      </x:c>
      <x:c r="B40" s="37" t="n">
        <x:v>-0.22589515008017103</x:v>
      </x:c>
      <x:c r="C40" s="37" t="n">
        <x:v>0.22586592523102064</x:v>
      </x:c>
      <x:c r="D40" s="37" t="n">
        <x:v>0.28492223657455795</x:v>
      </x:c>
      <x:c r="E40" s="37" t="n">
        <x:v>0.26588022616505236</x:v>
      </x:c>
      <x:c r="F40" s="37" t="n">
        <x:v>-0.20744505672088212</x:v>
      </x:c>
      <x:c r="G40" s="37" t="n">
        <x:v>0.42505451512369813</x:v>
      </x:c>
      <x:c r="H40" s="37" t="n">
        <x:v>-0.2283935835610472</x:v>
      </x:c>
      <x:c r="I40" s="37" t="n">
        <x:v>0.7637473183634387</x:v>
      </x:c>
      <x:c r="J40" s="37" t="n">
        <x:v>1</x:v>
      </x:c>
      <x:c r="K40" s="37" t="n">
        <x:v>0.9510765196378946</x:v>
      </x:c>
      <x:c r="L40" s="37" t="n">
        <x:v>-0.19350211914193913</x:v>
      </x:c>
      <x:c r="M40" s="37" t="n">
        <x:v>0.10481723876490993</x:v>
      </x:c>
      <x:c r="N40" s="37" t="n">
        <x:v>-0.000026675230099522906</x:v>
      </x:c>
      <x:c r="O40" s="37" t="n">
        <x:v>-0.31458431793328684</x:v>
      </x:c>
      <x:c r="P40" s="37" t="n">
        <x:v>-0.13283713976990574</x:v>
      </x:c>
      <x:c r="Q40" s="37" t="n">
        <x:v>-0.13444521164237233</x:v>
      </x:c>
      <x:c r="R40" s="37" t="n">
        <x:v>-0.06059996696378539</x:v>
      </x:c>
    </x:row>
    <x:row r="41" ht="24" customHeight="1">
      <x:c r="A41" s="2" t="str">
        <x:v>NP</x:v>
      </x:c>
      <x:c r="B41" s="37" t="n">
        <x:v>-0.25665114273407624</x:v>
      </x:c>
      <x:c r="C41" s="37" t="n">
        <x:v>0.2568267776843769</x:v>
      </x:c>
      <x:c r="D41" s="37" t="n">
        <x:v>0.30462793445712305</x:v>
      </x:c>
      <x:c r="E41" s="37" t="n">
        <x:v>0.23863126893512204</x:v>
      </x:c>
      <x:c r="F41" s="37" t="n">
        <x:v>-0.1958578944710012</x:v>
      </x:c>
      <x:c r="G41" s="37" t="n">
        <x:v>0.41026101827099976</x:v>
      </x:c>
      <x:c r="H41" s="37" t="n">
        <x:v>-0.22438631594935016</x:v>
      </x:c>
      <x:c r="I41" s="37" t="n">
        <x:v>0.5510030082713498</x:v>
      </x:c>
      <x:c r="J41" s="37" t="n">
        <x:v>0.9510765196378946</x:v>
      </x:c>
      <x:c r="K41" s="37" t="n">
        <x:v>1</x:v>
      </x:c>
      <x:c r="L41" s="37" t="n">
        <x:v>-0.22668000560375381</x:v>
      </x:c>
      <x:c r="M41" s="37" t="n">
        <x:v>0.10527125839615231</x:v>
      </x:c>
      <x:c r="N41" s="37" t="n">
        <x:v>0.0179309991396799</x:v>
      </x:c>
      <x:c r="O41" s="37" t="n">
        <x:v>-0.28911922055794703</x:v>
      </x:c>
      <x:c r="P41" s="37" t="n">
        <x:v>-0.1041936278031651</x:v>
      </x:c>
      <x:c r="Q41" s="37" t="n">
        <x:v>-0.02553392335717979</x:v>
      </x:c>
      <x:c r="R41" s="37" t="n">
        <x:v>-0.0744265744789483</x:v>
      </x:c>
    </x:row>
    <x:row r="42" ht="24" customHeight="1">
      <x:c r="A42" s="2" t="str">
        <x:v>SOC</x:v>
      </x:c>
      <x:c r="B42" s="37" t="n">
        <x:v>-0.18576133463723662</x:v>
      </x:c>
      <x:c r="C42" s="37" t="n">
        <x:v>0.1853201201261318</x:v>
      </x:c>
      <x:c r="D42" s="37" t="n">
        <x:v>0.09454102235792376</x:v>
      </x:c>
      <x:c r="E42" s="37" t="n">
        <x:v>-0.18785908926753997</x:v>
      </x:c>
      <x:c r="F42" s="37" t="n">
        <x:v>0.35198545585869523</x:v>
      </x:c>
      <x:c r="G42" s="37" t="n">
        <x:v>-0.6206491174128863</x:v>
      </x:c>
      <x:c r="H42" s="37" t="n">
        <x:v>0.040874169415342956</x:v>
      </x:c>
      <x:c r="I42" s="37" t="n">
        <x:v>-0.08289472874386812</x:v>
      </x:c>
      <x:c r="J42" s="37" t="n">
        <x:v>-0.19350211914193916</x:v>
      </x:c>
      <x:c r="K42" s="37" t="n">
        <x:v>-0.2266800056037538</x:v>
      </x:c>
      <x:c r="L42" s="37" t="n">
        <x:v>0.9999999999999998</x:v>
      </x:c>
      <x:c r="M42" s="37" t="n">
        <x:v>-0.4366279260645457</x:v>
      </x:c>
      <x:c r="N42" s="37" t="n">
        <x:v>-0.5334055615745756</x:v>
      </x:c>
      <x:c r="O42" s="37" t="n">
        <x:v>0.30384168176512727</x:v>
      </x:c>
      <x:c r="P42" s="37" t="n">
        <x:v>0.28430326077438856</x:v>
      </x:c>
      <x:c r="Q42" s="37" t="n">
        <x:v>0.15072720706523524</x:v>
      </x:c>
      <x:c r="R42" s="37" t="n">
        <x:v>0.3776716241504974</x:v>
      </x:c>
    </x:row>
    <x:row r="43" ht="24" customHeight="1">
      <x:c r="A43" s="2" t="str">
        <x:v>TN</x:v>
      </x:c>
      <x:c r="B43" s="37" t="n">
        <x:v>-0.03896908697967215</x:v>
      </x:c>
      <x:c r="C43" s="37" t="n">
        <x:v>0.039627324222998174</x:v>
      </x:c>
      <x:c r="D43" s="37" t="n">
        <x:v>0.07898322334942053</x:v>
      </x:c>
      <x:c r="E43" s="37" t="n">
        <x:v>0.38884648215634127</x:v>
      </x:c>
      <x:c r="F43" s="37" t="n">
        <x:v>-0.14808431005614103</x:v>
      </x:c>
      <x:c r="G43" s="37" t="n">
        <x:v>0.20679672623997383</x:v>
      </x:c>
      <x:c r="H43" s="37" t="n">
        <x:v>0.04903012187851693</x:v>
      </x:c>
      <x:c r="I43" s="37" t="n">
        <x:v>0.058749417759930894</x:v>
      </x:c>
      <x:c r="J43" s="37" t="n">
        <x:v>0.10481723876490993</x:v>
      </x:c>
      <x:c r="K43" s="37" t="n">
        <x:v>0.10527125839615231</x:v>
      </x:c>
      <x:c r="L43" s="37" t="n">
        <x:v>-0.4366279260645457</x:v>
      </x:c>
      <x:c r="M43" s="37" t="n">
        <x:v>0.9999999999999998</x:v>
      </x:c>
      <x:c r="N43" s="37" t="n">
        <x:v>0.43416970353590073</x:v>
      </x:c>
      <x:c r="O43" s="37" t="n">
        <x:v>-0.3764473120351958</x:v>
      </x:c>
      <x:c r="P43" s="37" t="n">
        <x:v>-0.07232739429699102</x:v>
      </x:c>
      <x:c r="Q43" s="37" t="n">
        <x:v>-0.17613431169769195</x:v>
      </x:c>
      <x:c r="R43" s="37" t="n">
        <x:v>-0.2372738763583834</x:v>
      </x:c>
    </x:row>
    <x:row r="44" ht="24" customHeight="1">
      <x:c r="A44" s="2" t="str">
        <x:v>TP</x:v>
      </x:c>
      <x:c r="B44" s="37" t="n">
        <x:v>0.2253665343526098</x:v>
      </x:c>
      <x:c r="C44" s="37" t="n">
        <x:v>-0.22490230137414519</x:v>
      </x:c>
      <x:c r="D44" s="37" t="n">
        <x:v>-0.14826488065924687</x:v>
      </x:c>
      <x:c r="E44" s="37" t="n">
        <x:v>-0.1593371417315079</x:v>
      </x:c>
      <x:c r="F44" s="37" t="n">
        <x:v>-0.40706769756065525</x:v>
      </x:c>
      <x:c r="G44" s="37" t="n">
        <x:v>0.34755787124525744</x:v>
      </x:c>
      <x:c r="H44" s="37" t="n">
        <x:v>-0.15054853873581456</x:v>
      </x:c>
      <x:c r="I44" s="37" t="n">
        <x:v>-0.01996959008206655</x:v>
      </x:c>
      <x:c r="J44" s="37" t="n">
        <x:v>-0.00002667523009952291</x:v>
      </x:c>
      <x:c r="K44" s="37" t="n">
        <x:v>0.0179309991396799</x:v>
      </x:c>
      <x:c r="L44" s="37" t="n">
        <x:v>-0.5334055615745756</x:v>
      </x:c>
      <x:c r="M44" s="37" t="n">
        <x:v>0.43416970353590073</x:v>
      </x:c>
      <x:c r="N44" s="37" t="n">
        <x:v>0.9999999999999998</x:v>
      </x:c>
      <x:c r="O44" s="37" t="n">
        <x:v>-0.034735328974204005</x:v>
      </x:c>
      <x:c r="P44" s="37" t="n">
        <x:v>-0.3906263190953923</x:v>
      </x:c>
      <x:c r="Q44" s="37" t="n">
        <x:v>0.04678420171377917</x:v>
      </x:c>
      <x:c r="R44" s="37" t="n">
        <x:v>0.0011696050428444795</x:v>
      </x:c>
    </x:row>
    <x:row r="45" ht="24" customHeight="1">
      <x:c r="A45" s="2" t="str">
        <x:v>MAT</x:v>
      </x:c>
      <x:c r="B45" s="37" t="n">
        <x:v>-0.14272091531694267</x:v>
      </x:c>
      <x:c r="C45" s="37" t="n">
        <x:v>0.14283229587950516</x:v>
      </x:c>
      <x:c r="D45" s="37" t="n">
        <x:v>0.11575772307247892</x:v>
      </x:c>
      <x:c r="E45" s="37" t="n">
        <x:v>-0.7640621925766474</x:v>
      </x:c>
      <x:c r="F45" s="37" t="n">
        <x:v>0.5571067687812643</x:v>
      </x:c>
      <x:c r="G45" s="37" t="n">
        <x:v>-0.15068818474039206</x:v>
      </x:c>
      <x:c r="H45" s="37" t="n">
        <x:v>-0.0721365458782051</x:v>
      </x:c>
      <x:c r="I45" s="37" t="n">
        <x:v>-0.22612102893251962</x:v>
      </x:c>
      <x:c r="J45" s="37" t="n">
        <x:v>-0.31458431793328684</x:v>
      </x:c>
      <x:c r="K45" s="37" t="n">
        <x:v>-0.28911922055794703</x:v>
      </x:c>
      <x:c r="L45" s="37" t="n">
        <x:v>0.3038416817651273</x:v>
      </x:c>
      <x:c r="M45" s="37" t="n">
        <x:v>-0.3764473120351958</x:v>
      </x:c>
      <x:c r="N45" s="37" t="n">
        <x:v>-0.03473532897420401</x:v>
      </x:c>
      <x:c r="O45" s="37" t="n">
        <x:v>1</x:v>
      </x:c>
      <x:c r="P45" s="37" t="n">
        <x:v>0.38771793835563256</x:v>
      </x:c>
      <x:c r="Q45" s="37" t="n">
        <x:v>0.0229514487402299</x:v>
      </x:c>
      <x:c r="R45" s="37" t="n">
        <x:v>0.18554270000202325</x:v>
      </x:c>
    </x:row>
    <x:row r="46" ht="24" customHeight="1">
      <x:c r="A46" s="2" t="str">
        <x:v>MAP</x:v>
      </x:c>
      <x:c r="B46" s="37" t="n">
        <x:v>-0.43113301650190555</x:v>
      </x:c>
      <x:c r="C46" s="37" t="n">
        <x:v>0.43090404712438574</x:v>
      </x:c>
      <x:c r="D46" s="37" t="n">
        <x:v>0.3393460135564188</x:v>
      </x:c>
      <x:c r="E46" s="37" t="n">
        <x:v>0.11023764823946287</x:v>
      </x:c>
      <x:c r="F46" s="37" t="n">
        <x:v>0.8078919982608865</x:v>
      </x:c>
      <x:c r="G46" s="37" t="n">
        <x:v>-0.4358980921337207</x:v>
      </x:c>
      <x:c r="H46" s="37" t="n">
        <x:v>0.15617531811591973</x:v>
      </x:c>
      <x:c r="I46" s="37" t="n">
        <x:v>-0.117791023586028</x:v>
      </x:c>
      <x:c r="J46" s="37" t="n">
        <x:v>-0.13283713976990574</x:v>
      </x:c>
      <x:c r="K46" s="37" t="n">
        <x:v>-0.10419362780316509</x:v>
      </x:c>
      <x:c r="L46" s="37" t="n">
        <x:v>0.28430326077438856</x:v>
      </x:c>
      <x:c r="M46" s="37" t="n">
        <x:v>-0.072327394296991</x:v>
      </x:c>
      <x:c r="N46" s="37" t="n">
        <x:v>-0.39062631909539236</x:v>
      </x:c>
      <x:c r="O46" s="37" t="n">
        <x:v>0.38771793835563256</x:v>
      </x:c>
      <x:c r="P46" s="37" t="n">
        <x:v>1</x:v>
      </x:c>
      <x:c r="Q46" s="37" t="n">
        <x:v>-0.19864487854079643</x:v>
      </x:c>
      <x:c r="R46" s="37" t="n">
        <x:v>-0.01639851322984736</x:v>
      </x:c>
    </x:row>
    <x:row r="47" ht="24" customHeight="1">
      <x:c r="A47" s="2" t="str">
        <x:v>DCOAST</x:v>
      </x:c>
      <x:c r="B47" s="37" t="n">
        <x:v>0.11824104570742186</x:v>
      </x:c>
      <x:c r="C47" s="37" t="n">
        <x:v>-0.11738199472745497</x:v>
      </x:c>
      <x:c r="D47" s="37" t="n">
        <x:v>-0.10016743819560721</x:v>
      </x:c>
      <x:c r="E47" s="37" t="n">
        <x:v>-0.26272612364161657</x:v>
      </x:c>
      <x:c r="F47" s="37" t="n">
        <x:v>-0.27461505630519717</x:v>
      </x:c>
      <x:c r="G47" s="37" t="n">
        <x:v>-0.0754505921108953</x:v>
      </x:c>
      <x:c r="H47" s="37" t="n">
        <x:v>-0.12033416224793149</x:v>
      </x:c>
      <x:c r="I47" s="37" t="n">
        <x:v>-0.3201126110935789</x:v>
      </x:c>
      <x:c r="J47" s="37" t="n">
        <x:v>-0.13444521164237233</x:v>
      </x:c>
      <x:c r="K47" s="37" t="n">
        <x:v>-0.025533923357179793</x:v>
      </x:c>
      <x:c r="L47" s="37" t="n">
        <x:v>0.15072720706523524</x:v>
      </x:c>
      <x:c r="M47" s="37" t="n">
        <x:v>-0.17613431169769195</x:v>
      </x:c>
      <x:c r="N47" s="37" t="n">
        <x:v>0.04678420171377917</x:v>
      </x:c>
      <x:c r="O47" s="37" t="n">
        <x:v>0.022951448740229904</x:v>
      </x:c>
      <x:c r="P47" s="37" t="n">
        <x:v>-0.19864487854079646</x:v>
      </x:c>
      <x:c r="Q47" s="37" t="n">
        <x:v>0.9999999999999998</x:v>
      </x:c>
      <x:c r="R47" s="37" t="n">
        <x:v>0.22974736531074558</x:v>
      </x:c>
    </x:row>
    <x:row r="48" ht="24" customHeight="1">
      <x:c r="A48" s="2" t="str">
        <x:v>DEST</x:v>
      </x:c>
      <x:c r="B48" s="37" t="n">
        <x:v>0.08105512636427938</x:v>
      </x:c>
      <x:c r="C48" s="37" t="n">
        <x:v>-0.08100701665676896</x:v>
      </x:c>
      <x:c r="D48" s="37" t="n">
        <x:v>-0.09979808923470895</x:v>
      </x:c>
      <x:c r="E48" s="37" t="n">
        <x:v>-0.3166182409140155</x:v>
      </x:c>
      <x:c r="F48" s="37" t="n">
        <x:v>-0.05781952788995042</x:v>
      </x:c>
      <x:c r="G48" s="37" t="n">
        <x:v>-0.09822269652500375</x:v>
      </x:c>
      <x:c r="H48" s="37" t="n">
        <x:v>-0.16616675671386033</x:v>
      </x:c>
      <x:c r="I48" s="37" t="n">
        <x:v>-0.042042430249841924</x:v>
      </x:c>
      <x:c r="J48" s="37" t="n">
        <x:v>-0.06059996696378538</x:v>
      </x:c>
      <x:c r="K48" s="37" t="n">
        <x:v>-0.0744265744789483</x:v>
      </x:c>
      <x:c r="L48" s="37" t="n">
        <x:v>0.3776716241504974</x:v>
      </x:c>
      <x:c r="M48" s="37" t="n">
        <x:v>-0.2372738763583834</x:v>
      </x:c>
      <x:c r="N48" s="37" t="n">
        <x:v>0.0011696050428444795</x:v>
      </x:c>
      <x:c r="O48" s="37" t="n">
        <x:v>0.18554270000202325</x:v>
      </x:c>
      <x:c r="P48" s="37" t="n">
        <x:v>-0.01639851322984736</x:v>
      </x:c>
      <x:c r="Q48" s="37" t="n">
        <x:v>0.22974736531074558</x:v>
      </x:c>
      <x:c r="R48" s="37" t="n">
        <x:v>0.9999999999999998</x:v>
      </x:c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38" customHeight="1">
      <x:c r="A51" s="5" t="str">
        <x:v>全样本 Pearson 强相关对按 |r|≥0.70 标记；明细按合并样本 |r| 降序排列。区域内相关显示不同尺度上的关联，未作显著性推断。</x:v>
      </x:c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50" customHeight="1">
      <x:c r="A54" s="9" t="str">
        <x:v>变量1</x:v>
      </x:c>
      <x:c r="B54" s="9" t="str">
        <x:v>变量2</x:v>
      </x:c>
      <x:c r="C54" s="9" t="str">
        <x:v>合并 n</x:v>
      </x:c>
      <x:c r="D54" s="9" t="str">
        <x:v>合并 Pearson r</x:v>
      </x:c>
      <x:c r="E54" s="9" t="str">
        <x:v>合并 Spearman ρ</x:v>
      </x:c>
      <x:c r="F54" s="9" t="str">
        <x:v>|r|≥0.70</x:v>
      </x:c>
      <x:c r="G54" s="9" t="str">
        <x:v>SZ n</x:v>
      </x:c>
      <x:c r="H54" s="9" t="str">
        <x:v>SZ Pearson r</x:v>
      </x:c>
      <x:c r="I54" s="9" t="str">
        <x:v>GQ n</x:v>
      </x:c>
      <x:c r="J54" s="9" t="str">
        <x:v>GQ Pearson r</x:v>
      </x:c>
      <x:c r="K54" s="9" t="str">
        <x:v>区域差异提示</x:v>
      </x:c>
      <x:c r="L54" s="2"/>
      <x:c r="M54" s="2"/>
      <x:c r="N54" s="2"/>
      <x:c r="O54" s="2"/>
      <x:c r="P54" s="2"/>
      <x:c r="Q54" s="2"/>
      <x:c r="R54" s="2"/>
    </x:row>
    <x:row r="55" ht="24" customHeight="1">
      <x:c r="A55" s="2" t="str">
        <x:v>BD</x:v>
      </x:c>
      <x:c r="B55" s="2" t="str">
        <x:v>POR</x:v>
      </x:c>
      <x:c r="C55" s="11" t="n">
        <x:v>143</x:v>
      </x:c>
      <x:c r="D55" s="19" t="n">
        <x:v>-0.999999058614228</x:v>
      </x:c>
      <x:c r="E55" s="19" t="n">
        <x:v>-0.9999887141115156</x:v>
      </x:c>
      <x:c r="F55" s="2" t="str">
        <x:v>是</x:v>
      </x:c>
      <x:c r="G55" s="11" t="n">
        <x:v>23</x:v>
      </x:c>
      <x:c r="H55" s="19" t="n">
        <x:v>-0.9999996657447009</x:v>
      </x:c>
      <x:c r="I55" s="11" t="n">
        <x:v>120</x:v>
      </x:c>
      <x:c r="J55" s="19" t="n">
        <x:v>-0.9999988333536163</x:v>
      </x:c>
      <x:c r="K55" s="2" t="str"/>
      <x:c r="L55" s="2"/>
      <x:c r="M55" s="2"/>
      <x:c r="N55" s="2"/>
      <x:c r="O55" s="2"/>
      <x:c r="P55" s="2"/>
      <x:c r="Q55" s="2"/>
      <x:c r="R55" s="2"/>
    </x:row>
    <x:row r="56" ht="24" customHeight="1">
      <x:c r="A56" s="10" t="str">
        <x:v>LON</x:v>
      </x:c>
      <x:c r="B56" s="10" t="str">
        <x:v>MAP</x:v>
      </x:c>
      <x:c r="C56" s="12" t="n">
        <x:v>143</x:v>
      </x:c>
      <x:c r="D56" s="34" t="n">
        <x:v>0.993302620072683</x:v>
      </x:c>
      <x:c r="E56" s="34" t="n">
        <x:v>0.8078919982608865</x:v>
      </x:c>
      <x:c r="F56" s="10" t="str">
        <x:v>是</x:v>
      </x:c>
      <x:c r="G56" s="12" t="n">
        <x:v>23</x:v>
      </x:c>
      <x:c r="H56" s="34" t="n">
        <x:v>0.9308130919238811</x:v>
      </x:c>
      <x:c r="I56" s="12" t="n">
        <x:v>120</x:v>
      </x:c>
      <x:c r="J56" s="34" t="n">
        <x:v>0.6788714196789443</x:v>
      </x:c>
      <x:c r="K56" s="10" t="str">
        <x:v>检查区域间差异</x:v>
      </x:c>
      <x:c r="L56" s="2"/>
      <x:c r="M56" s="2"/>
      <x:c r="N56" s="2"/>
      <x:c r="O56" s="2"/>
      <x:c r="P56" s="2"/>
      <x:c r="Q56" s="2"/>
      <x:c r="R56" s="2"/>
    </x:row>
    <x:row r="57" ht="24" customHeight="1">
      <x:c r="A57" s="2" t="str">
        <x:v>LAT</x:v>
      </x:c>
      <x:c r="B57" s="2" t="str">
        <x:v>LON</x:v>
      </x:c>
      <x:c r="C57" s="11" t="n">
        <x:v>143</x:v>
      </x:c>
      <x:c r="D57" s="19" t="n">
        <x:v>0.9632758859938165</x:v>
      </x:c>
      <x:c r="E57" s="19" t="n">
        <x:v>-0.15332496142355295</x:v>
      </x:c>
      <x:c r="F57" s="2" t="str">
        <x:v>是</x:v>
      </x:c>
      <x:c r="G57" s="11" t="n">
        <x:v>23</x:v>
      </x:c>
      <x:c r="H57" s="19" t="n">
        <x:v>-0.98003957044369</x:v>
      </x:c>
      <x:c r="I57" s="11" t="n">
        <x:v>120</x:v>
      </x:c>
      <x:c r="J57" s="19" t="n">
        <x:v>-0.9637751387599209</x:v>
      </x:c>
      <x:c r="K57" s="2" t="str"/>
      <x:c r="L57" s="2"/>
      <x:c r="M57" s="2"/>
      <x:c r="N57" s="2"/>
      <x:c r="O57" s="2"/>
      <x:c r="P57" s="2"/>
      <x:c r="Q57" s="2"/>
      <x:c r="R57" s="2"/>
    </x:row>
    <x:row r="58" ht="24" customHeight="1">
      <x:c r="A58" s="10" t="str">
        <x:v>LAT</x:v>
      </x:c>
      <x:c r="B58" s="10" t="str">
        <x:v>MAP</x:v>
      </x:c>
      <x:c r="C58" s="12" t="n">
        <x:v>143</x:v>
      </x:c>
      <x:c r="D58" s="34" t="n">
        <x:v>0.9548333369456498</x:v>
      </x:c>
      <x:c r="E58" s="34" t="n">
        <x:v>0.11023764823946287</x:v>
      </x:c>
      <x:c r="F58" s="10" t="str">
        <x:v>是</x:v>
      </x:c>
      <x:c r="G58" s="12" t="n">
        <x:v>23</x:v>
      </x:c>
      <x:c r="H58" s="34" t="n">
        <x:v>-0.9242483707777046</x:v>
      </x:c>
      <x:c r="I58" s="12" t="n">
        <x:v>120</x:v>
      </x:c>
      <x:c r="J58" s="34" t="n">
        <x:v>-0.5470737042104225</x:v>
      </x:c>
      <x:c r="K58" s="10" t="str">
        <x:v>检查区域间差异</x:v>
      </x:c>
      <x:c r="L58" s="2"/>
      <x:c r="M58" s="2"/>
      <x:c r="N58" s="2"/>
      <x:c r="O58" s="2"/>
      <x:c r="P58" s="2"/>
      <x:c r="Q58" s="2"/>
      <x:c r="R58" s="2"/>
    </x:row>
    <x:row r="59" ht="24" customHeight="1">
      <x:c r="A59" s="2" t="str">
        <x:v>CP</x:v>
      </x:c>
      <x:c r="B59" s="2" t="str">
        <x:v>NP</x:v>
      </x:c>
      <x:c r="C59" s="11" t="n">
        <x:v>143</x:v>
      </x:c>
      <x:c r="D59" s="19" t="n">
        <x:v>0.946843569967391</x:v>
      </x:c>
      <x:c r="E59" s="19" t="n">
        <x:v>0.9510765196378946</x:v>
      </x:c>
      <x:c r="F59" s="2" t="str">
        <x:v>是</x:v>
      </x:c>
      <x:c r="G59" s="11" t="n">
        <x:v>23</x:v>
      </x:c>
      <x:c r="H59" s="19" t="n">
        <x:v>0.9845788608210824</x:v>
      </x:c>
      <x:c r="I59" s="11" t="n">
        <x:v>120</x:v>
      </x:c>
      <x:c r="J59" s="19" t="n">
        <x:v>0.9435446621855552</x:v>
      </x:c>
      <x:c r="K59" s="2" t="str"/>
      <x:c r="L59" s="2"/>
      <x:c r="M59" s="2"/>
      <x:c r="N59" s="2"/>
      <x:c r="O59" s="2"/>
      <x:c r="P59" s="2"/>
      <x:c r="Q59" s="2"/>
      <x:c r="R59" s="2"/>
    </x:row>
    <x:row r="60" ht="24" customHeight="1">
      <x:c r="A60" s="10" t="str">
        <x:v>BD</x:v>
      </x:c>
      <x:c r="B60" s="10" t="str">
        <x:v>SWC</x:v>
      </x:c>
      <x:c r="C60" s="12" t="n">
        <x:v>143</x:v>
      </x:c>
      <x:c r="D60" s="34" t="n">
        <x:v>-0.8992647220262283</x:v>
      </x:c>
      <x:c r="E60" s="34" t="n">
        <x:v>-0.911245857727701</x:v>
      </x:c>
      <x:c r="F60" s="10" t="str">
        <x:v>是</x:v>
      </x:c>
      <x:c r="G60" s="12" t="n">
        <x:v>23</x:v>
      </x:c>
      <x:c r="H60" s="34" t="n">
        <x:v>-0.5712504028065621</x:v>
      </x:c>
      <x:c r="I60" s="12" t="n">
        <x:v>120</x:v>
      </x:c>
      <x:c r="J60" s="34" t="n">
        <x:v>-0.9032261378176077</x:v>
      </x:c>
      <x:c r="K60" s="10" t="str">
        <x:v>检查区域间差异</x:v>
      </x:c>
      <x:c r="L60" s="2"/>
      <x:c r="M60" s="2"/>
      <x:c r="N60" s="2"/>
      <x:c r="O60" s="2"/>
      <x:c r="P60" s="2"/>
      <x:c r="Q60" s="2"/>
      <x:c r="R60" s="2"/>
    </x:row>
    <x:row r="61" ht="24" customHeight="1">
      <x:c r="A61" s="2" t="str">
        <x:v>POR</x:v>
      </x:c>
      <x:c r="B61" s="2" t="str">
        <x:v>SWC</x:v>
      </x:c>
      <x:c r="C61" s="11" t="n">
        <x:v>143</x:v>
      </x:c>
      <x:c r="D61" s="19" t="n">
        <x:v>0.8992549327332781</x:v>
      </x:c>
      <x:c r="E61" s="19" t="n">
        <x:v>0.911371002433523</x:v>
      </x:c>
      <x:c r="F61" s="2" t="str">
        <x:v>是</x:v>
      </x:c>
      <x:c r="G61" s="11" t="n">
        <x:v>23</x:v>
      </x:c>
      <x:c r="H61" s="19" t="n">
        <x:v>0.5711846481729045</x:v>
      </x:c>
      <x:c r="I61" s="11" t="n">
        <x:v>120</x:v>
      </x:c>
      <x:c r="J61" s="19" t="n">
        <x:v>0.9032138899309988</x:v>
      </x:c>
      <x:c r="K61" s="2" t="str">
        <x:v>检查区域间差异</x:v>
      </x:c>
      <x:c r="L61" s="2"/>
      <x:c r="M61" s="2"/>
      <x:c r="N61" s="2"/>
      <x:c r="O61" s="2"/>
      <x:c r="P61" s="2"/>
      <x:c r="Q61" s="2"/>
      <x:c r="R61" s="2"/>
    </x:row>
    <x:row r="62" ht="24" customHeight="1">
      <x:c r="A62" s="10" t="str">
        <x:v>CN</x:v>
      </x:c>
      <x:c r="B62" s="10" t="str">
        <x:v>CP</x:v>
      </x:c>
      <x:c r="C62" s="12" t="n">
        <x:v>143</x:v>
      </x:c>
      <x:c r="D62" s="34" t="n">
        <x:v>0.6470495894644316</x:v>
      </x:c>
      <x:c r="E62" s="34" t="n">
        <x:v>0.7637473183634387</x:v>
      </x:c>
      <x:c r="F62" s="10" t="str">
        <x:v>否</x:v>
      </x:c>
      <x:c r="G62" s="12" t="n">
        <x:v>23</x:v>
      </x:c>
      <x:c r="H62" s="34" t="n">
        <x:v>0.6697232371141018</x:v>
      </x:c>
      <x:c r="I62" s="12" t="n">
        <x:v>120</x:v>
      </x:c>
      <x:c r="J62" s="34" t="n">
        <x:v>0.6499520034448599</x:v>
      </x:c>
      <x:c r="K62" s="10" t="str"/>
      <x:c r="L62" s="2"/>
      <x:c r="M62" s="2"/>
      <x:c r="N62" s="2"/>
      <x:c r="O62" s="2"/>
      <x:c r="P62" s="2"/>
      <x:c r="Q62" s="2"/>
      <x:c r="R62" s="2"/>
    </x:row>
    <x:row r="63" ht="24" customHeight="1">
      <x:c r="A63" s="2" t="str">
        <x:v>SAL</x:v>
      </x:c>
      <x:c r="B63" s="2" t="str">
        <x:v>SOC</x:v>
      </x:c>
      <x:c r="C63" s="11" t="n">
        <x:v>143</x:v>
      </x:c>
      <x:c r="D63" s="19" t="n">
        <x:v>-0.5598300126727357</x:v>
      </x:c>
      <x:c r="E63" s="19" t="n">
        <x:v>-0.6206491174128863</x:v>
      </x:c>
      <x:c r="F63" s="2" t="str">
        <x:v>否</x:v>
      </x:c>
      <x:c r="G63" s="11" t="n">
        <x:v>23</x:v>
      </x:c>
      <x:c r="H63" s="19" t="n">
        <x:v>-0.01876166295929592</x:v>
      </x:c>
      <x:c r="I63" s="11" t="n">
        <x:v>120</x:v>
      </x:c>
      <x:c r="J63" s="19" t="n">
        <x:v>-0.6169111553305965</x:v>
      </x:c>
      <x:c r="K63" s="2" t="str"/>
      <x:c r="L63" s="2"/>
      <x:c r="M63" s="2"/>
      <x:c r="N63" s="2"/>
      <x:c r="O63" s="2"/>
      <x:c r="P63" s="2"/>
      <x:c r="Q63" s="2"/>
      <x:c r="R63" s="2"/>
    </x:row>
    <x:row r="64" ht="24" customHeight="1">
      <x:c r="A64" s="10" t="str">
        <x:v>TP</x:v>
      </x:c>
      <x:c r="B64" s="10" t="str">
        <x:v>MAP</x:v>
      </x:c>
      <x:c r="C64" s="12" t="n">
        <x:v>143</x:v>
      </x:c>
      <x:c r="D64" s="34" t="n">
        <x:v>-0.5126754290503822</x:v>
      </x:c>
      <x:c r="E64" s="34" t="n">
        <x:v>-0.3906263190953923</x:v>
      </x:c>
      <x:c r="F64" s="10" t="str">
        <x:v>否</x:v>
      </x:c>
      <x:c r="G64" s="12" t="n">
        <x:v>23</x:v>
      </x:c>
      <x:c r="H64" s="34" t="n">
        <x:v>-0.12364877637298463</x:v>
      </x:c>
      <x:c r="I64" s="12" t="n">
        <x:v>120</x:v>
      </x:c>
      <x:c r="J64" s="34" t="n">
        <x:v>-0.1626322830928893</x:v>
      </x:c>
      <x:c r="K64" s="10" t="str"/>
      <x:c r="L64" s="2"/>
      <x:c r="M64" s="2"/>
      <x:c r="N64" s="2"/>
      <x:c r="O64" s="2"/>
      <x:c r="P64" s="2"/>
      <x:c r="Q64" s="2"/>
      <x:c r="R64" s="2"/>
    </x:row>
    <x:row r="65" ht="24" customHeight="1">
      <x:c r="A65" s="2" t="str">
        <x:v>LON</x:v>
      </x:c>
      <x:c r="B65" s="2" t="str">
        <x:v>TP</x:v>
      </x:c>
      <x:c r="C65" s="11" t="n">
        <x:v>143</x:v>
      </x:c>
      <x:c r="D65" s="19" t="n">
        <x:v>-0.5098041882510861</x:v>
      </x:c>
      <x:c r="E65" s="19" t="n">
        <x:v>-0.40706769756065525</x:v>
      </x:c>
      <x:c r="F65" s="2" t="str">
        <x:v>否</x:v>
      </x:c>
      <x:c r="G65" s="11" t="n">
        <x:v>23</x:v>
      </x:c>
      <x:c r="H65" s="19" t="n">
        <x:v>-0.1467011410482893</x:v>
      </x:c>
      <x:c r="I65" s="11" t="n">
        <x:v>120</x:v>
      </x:c>
      <x:c r="J65" s="19" t="n">
        <x:v>-0.22334475740512896</x:v>
      </x:c>
      <x:c r="K65" s="2" t="str"/>
      <x:c r="L65" s="2"/>
      <x:c r="M65" s="2"/>
      <x:c r="N65" s="2"/>
      <x:c r="O65" s="2"/>
      <x:c r="P65" s="2"/>
      <x:c r="Q65" s="2"/>
      <x:c r="R65" s="2"/>
    </x:row>
    <x:row r="66" ht="24" customHeight="1">
      <x:c r="A66" s="10" t="str">
        <x:v>SOC</x:v>
      </x:c>
      <x:c r="B66" s="10" t="str">
        <x:v>TP</x:v>
      </x:c>
      <x:c r="C66" s="12" t="n">
        <x:v>143</x:v>
      </x:c>
      <x:c r="D66" s="34" t="n">
        <x:v>-0.509008770092241</x:v>
      </x:c>
      <x:c r="E66" s="34" t="n">
        <x:v>-0.5334055615745756</x:v>
      </x:c>
      <x:c r="F66" s="10" t="str">
        <x:v>否</x:v>
      </x:c>
      <x:c r="G66" s="12" t="n">
        <x:v>23</x:v>
      </x:c>
      <x:c r="H66" s="34" t="n">
        <x:v>-0.5057861422820296</x:v>
      </x:c>
      <x:c r="I66" s="12" t="n">
        <x:v>120</x:v>
      </x:c>
      <x:c r="J66" s="34" t="n">
        <x:v>-0.5255405245346819</x:v>
      </x:c>
      <x:c r="K66" s="10" t="str"/>
      <x:c r="L66" s="2"/>
      <x:c r="M66" s="2"/>
      <x:c r="N66" s="2"/>
      <x:c r="O66" s="2"/>
      <x:c r="P66" s="2"/>
      <x:c r="Q66" s="2"/>
      <x:c r="R66" s="2"/>
    </x:row>
    <x:row r="67" ht="24" customHeight="1">
      <x:c r="A67" s="2" t="str">
        <x:v>SOC</x:v>
      </x:c>
      <x:c r="B67" s="2" t="str">
        <x:v>TN</x:v>
      </x:c>
      <x:c r="C67" s="11" t="n">
        <x:v>143</x:v>
      </x:c>
      <x:c r="D67" s="19" t="n">
        <x:v>-0.4861297738960722</x:v>
      </x:c>
      <x:c r="E67" s="19" t="n">
        <x:v>-0.4366279260645457</x:v>
      </x:c>
      <x:c r="F67" s="2" t="str">
        <x:v>否</x:v>
      </x:c>
      <x:c r="G67" s="11" t="n">
        <x:v>23</x:v>
      </x:c>
      <x:c r="H67" s="19" t="n">
        <x:v>-0.06046419124584953</x:v>
      </x:c>
      <x:c r="I67" s="11" t="n">
        <x:v>120</x:v>
      </x:c>
      <x:c r="J67" s="19" t="n">
        <x:v>-0.6230065187120987</x:v>
      </x:c>
      <x:c r="K67" s="2" t="str"/>
      <x:c r="L67" s="2"/>
      <x:c r="M67" s="2"/>
      <x:c r="N67" s="2"/>
      <x:c r="O67" s="2"/>
      <x:c r="P67" s="2"/>
      <x:c r="Q67" s="2"/>
      <x:c r="R67" s="2"/>
    </x:row>
    <x:row r="68" ht="24" customHeight="1">
      <x:c r="A68" s="10" t="str">
        <x:v>SAL</x:v>
      </x:c>
      <x:c r="B68" s="10" t="str">
        <x:v>MAP</x:v>
      </x:c>
      <x:c r="C68" s="12" t="n">
        <x:v>143</x:v>
      </x:c>
      <x:c r="D68" s="34" t="n">
        <x:v>-0.4560209383910797</x:v>
      </x:c>
      <x:c r="E68" s="34" t="n">
        <x:v>-0.43589809213372066</x:v>
      </x:c>
      <x:c r="F68" s="10" t="str">
        <x:v>否</x:v>
      </x:c>
      <x:c r="G68" s="12" t="n">
        <x:v>23</x:v>
      </x:c>
      <x:c r="H68" s="34" t="n">
        <x:v>-0.5256148149038519</x:v>
      </x:c>
      <x:c r="I68" s="12" t="n">
        <x:v>120</x:v>
      </x:c>
      <x:c r="J68" s="34" t="n">
        <x:v>-0.19654622215245773</x:v>
      </x:c>
      <x:c r="K68" s="10" t="str"/>
      <x:c r="L68" s="2"/>
      <x:c r="M68" s="2"/>
      <x:c r="N68" s="2"/>
      <x:c r="O68" s="2"/>
      <x:c r="P68" s="2"/>
      <x:c r="Q68" s="2"/>
      <x:c r="R68" s="2"/>
    </x:row>
    <x:row r="69" ht="24" customHeight="1">
      <x:c r="A69" s="2" t="str">
        <x:v>LAT</x:v>
      </x:c>
      <x:c r="B69" s="2" t="str">
        <x:v>TP</x:v>
      </x:c>
      <x:c r="C69" s="11" t="n">
        <x:v>143</x:v>
      </x:c>
      <x:c r="D69" s="19" t="n">
        <x:v>-0.4515986507189959</x:v>
      </x:c>
      <x:c r="E69" s="19" t="n">
        <x:v>-0.1593371417315079</x:v>
      </x:c>
      <x:c r="F69" s="2" t="str">
        <x:v>否</x:v>
      </x:c>
      <x:c r="G69" s="11" t="n">
        <x:v>23</x:v>
      </x:c>
      <x:c r="H69" s="19" t="n">
        <x:v>0.12284983544870495</x:v>
      </x:c>
      <x:c r="I69" s="11" t="n">
        <x:v>120</x:v>
      </x:c>
      <x:c r="J69" s="19" t="n">
        <x:v>0.24854170805745565</x:v>
      </x:c>
      <x:c r="K69" s="2" t="str"/>
      <x:c r="L69" s="2"/>
      <x:c r="M69" s="2"/>
      <x:c r="N69" s="2"/>
      <x:c r="O69" s="2"/>
      <x:c r="P69" s="2"/>
      <x:c r="Q69" s="2"/>
      <x:c r="R69" s="2"/>
    </x:row>
    <x:row r="70" ht="24" customHeight="1">
      <x:c r="A70" s="10" t="str">
        <x:v>LON</x:v>
      </x:c>
      <x:c r="B70" s="10" t="str">
        <x:v>SAL</x:v>
      </x:c>
      <x:c r="C70" s="12" t="n">
        <x:v>143</x:v>
      </x:c>
      <x:c r="D70" s="34" t="n">
        <x:v>-0.442919514316301</x:v>
      </x:c>
      <x:c r="E70" s="34" t="n">
        <x:v>-0.44765735541687107</x:v>
      </x:c>
      <x:c r="F70" s="10" t="str">
        <x:v>否</x:v>
      </x:c>
      <x:c r="G70" s="12" t="n">
        <x:v>23</x:v>
      </x:c>
      <x:c r="H70" s="34" t="n">
        <x:v>-0.4756201745209349</x:v>
      </x:c>
      <x:c r="I70" s="12" t="n">
        <x:v>120</x:v>
      </x:c>
      <x:c r="J70" s="34" t="n">
        <x:v>-0.22847751169236544</x:v>
      </x:c>
      <x:c r="K70" s="10" t="str"/>
      <x:c r="L70" s="2"/>
      <x:c r="M70" s="2"/>
      <x:c r="N70" s="2"/>
      <x:c r="O70" s="2"/>
      <x:c r="P70" s="2"/>
      <x:c r="Q70" s="2"/>
      <x:c r="R70" s="2"/>
    </x:row>
    <x:row r="71" ht="24" customHeight="1">
      <x:c r="A71" s="2" t="str">
        <x:v>BD</x:v>
      </x:c>
      <x:c r="B71" s="2" t="str">
        <x:v>MAP</x:v>
      </x:c>
      <x:c r="C71" s="11" t="n">
        <x:v>143</x:v>
      </x:c>
      <x:c r="D71" s="19" t="n">
        <x:v>-0.43978179089380065</x:v>
      </x:c>
      <x:c r="E71" s="19" t="n">
        <x:v>-0.43113301650190555</x:v>
      </x:c>
      <x:c r="F71" s="2" t="str">
        <x:v>否</x:v>
      </x:c>
      <x:c r="G71" s="11" t="n">
        <x:v>23</x:v>
      </x:c>
      <x:c r="H71" s="19" t="n">
        <x:v>0.2480584281393859</x:v>
      </x:c>
      <x:c r="I71" s="11" t="n">
        <x:v>120</x:v>
      </x:c>
      <x:c r="J71" s="19" t="n">
        <x:v>-0.3019207681721166</x:v>
      </x:c>
      <x:c r="K71" s="2" t="str"/>
      <x:c r="L71" s="2"/>
      <x:c r="M71" s="2"/>
      <x:c r="N71" s="2"/>
      <x:c r="O71" s="2"/>
      <x:c r="P71" s="2"/>
      <x:c r="Q71" s="2"/>
      <x:c r="R71" s="2"/>
    </x:row>
    <x:row r="72" ht="24" customHeight="1">
      <x:c r="A72" s="10" t="str">
        <x:v>POR</x:v>
      </x:c>
      <x:c r="B72" s="10" t="str">
        <x:v>MAP</x:v>
      </x:c>
      <x:c r="C72" s="12" t="n">
        <x:v>143</x:v>
      </x:c>
      <x:c r="D72" s="34" t="n">
        <x:v>0.4397161754313545</x:v>
      </x:c>
      <x:c r="E72" s="34" t="n">
        <x:v>0.4309040471243858</x:v>
      </x:c>
      <x:c r="F72" s="10" t="str">
        <x:v>否</x:v>
      </x:c>
      <x:c r="G72" s="12" t="n">
        <x:v>23</x:v>
      </x:c>
      <x:c r="H72" s="34" t="n">
        <x:v>-0.2481158898163187</x:v>
      </x:c>
      <x:c r="I72" s="12" t="n">
        <x:v>120</x:v>
      </x:c>
      <x:c r="J72" s="34" t="n">
        <x:v>0.30202389859807244</x:v>
      </x:c>
      <x:c r="K72" s="10" t="str"/>
      <x:c r="L72" s="2"/>
      <x:c r="M72" s="2"/>
      <x:c r="N72" s="2"/>
      <x:c r="O72" s="2"/>
      <x:c r="P72" s="2"/>
      <x:c r="Q72" s="2"/>
      <x:c r="R72" s="2"/>
    </x:row>
    <x:row r="73" ht="24" customHeight="1">
      <x:c r="A73" s="2" t="str">
        <x:v>BD</x:v>
      </x:c>
      <x:c r="B73" s="2" t="str">
        <x:v>LON</x:v>
      </x:c>
      <x:c r="C73" s="11" t="n">
        <x:v>143</x:v>
      </x:c>
      <x:c r="D73" s="19" t="n">
        <x:v>-0.43153887409455854</x:v>
      </x:c>
      <x:c r="E73" s="19" t="n">
        <x:v>-0.4789354346390101</x:v>
      </x:c>
      <x:c r="F73" s="2" t="str">
        <x:v>否</x:v>
      </x:c>
      <x:c r="G73" s="11" t="n">
        <x:v>23</x:v>
      </x:c>
      <x:c r="H73" s="19" t="n">
        <x:v>0.16738193092243508</x:v>
      </x:c>
      <x:c r="I73" s="11" t="n">
        <x:v>120</x:v>
      </x:c>
      <x:c r="J73" s="19" t="n">
        <x:v>-0.33240148430135363</x:v>
      </x:c>
      <x:c r="K73" s="2" t="str"/>
      <x:c r="L73" s="2"/>
      <x:c r="M73" s="2"/>
      <x:c r="N73" s="2"/>
      <x:c r="O73" s="2"/>
      <x:c r="P73" s="2"/>
      <x:c r="Q73" s="2"/>
      <x:c r="R73" s="2"/>
    </x:row>
    <x:row r="74" ht="24" customHeight="1">
      <x:c r="A74" s="10" t="str">
        <x:v>POR</x:v>
      </x:c>
      <x:c r="B74" s="10" t="str">
        <x:v>LON</x:v>
      </x:c>
      <x:c r="C74" s="12" t="n">
        <x:v>143</x:v>
      </x:c>
      <x:c r="D74" s="34" t="n">
        <x:v>0.4314642473053425</x:v>
      </x:c>
      <x:c r="E74" s="34" t="n">
        <x:v>0.4789526009145958</x:v>
      </x:c>
      <x:c r="F74" s="10" t="str">
        <x:v>否</x:v>
      </x:c>
      <x:c r="G74" s="12" t="n">
        <x:v>23</x:v>
      </x:c>
      <x:c r="H74" s="34" t="n">
        <x:v>-0.16734850870496962</x:v>
      </x:c>
      <x:c r="I74" s="12" t="n">
        <x:v>120</x:v>
      </x:c>
      <x:c r="J74" s="34" t="n">
        <x:v>0.3324803941041271</x:v>
      </x:c>
      <x:c r="K74" s="10" t="str"/>
      <x:c r="L74" s="2"/>
      <x:c r="M74" s="2"/>
      <x:c r="N74" s="2"/>
      <x:c r="O74" s="2"/>
      <x:c r="P74" s="2"/>
      <x:c r="Q74" s="2"/>
      <x:c r="R74" s="2"/>
    </x:row>
    <x:row r="75" ht="24" customHeight="1">
      <x:c r="A75" s="2" t="str">
        <x:v>SAL</x:v>
      </x:c>
      <x:c r="B75" s="2" t="str">
        <x:v>CP</x:v>
      </x:c>
      <x:c r="C75" s="11" t="n">
        <x:v>143</x:v>
      </x:c>
      <x:c r="D75" s="19" t="n">
        <x:v>0.40226581937627076</x:v>
      </x:c>
      <x:c r="E75" s="19" t="n">
        <x:v>0.4250545151236981</x:v>
      </x:c>
      <x:c r="F75" s="2" t="str">
        <x:v>否</x:v>
      </x:c>
      <x:c r="G75" s="11" t="n">
        <x:v>23</x:v>
      </x:c>
      <x:c r="H75" s="19" t="n">
        <x:v>0.28103112370456207</x:v>
      </x:c>
      <x:c r="I75" s="11" t="n">
        <x:v>120</x:v>
      </x:c>
      <x:c r="J75" s="19" t="n">
        <x:v>0.44648607378882826</x:v>
      </x:c>
      <x:c r="K75" s="2" t="str"/>
      <x:c r="L75" s="2"/>
      <x:c r="M75" s="2"/>
      <x:c r="N75" s="2"/>
      <x:c r="O75" s="2"/>
      <x:c r="P75" s="2"/>
      <x:c r="Q75" s="2"/>
      <x:c r="R75" s="2"/>
    </x:row>
    <x:row r="76" ht="24" customHeight="1">
      <x:c r="A76" s="10" t="str">
        <x:v>CN</x:v>
      </x:c>
      <x:c r="B76" s="10" t="str">
        <x:v>NP</x:v>
      </x:c>
      <x:c r="C76" s="12" t="n">
        <x:v>143</x:v>
      </x:c>
      <x:c r="D76" s="34" t="n">
        <x:v>0.39699977676633874</x:v>
      </x:c>
      <x:c r="E76" s="34" t="n">
        <x:v>0.5510030082713497</x:v>
      </x:c>
      <x:c r="F76" s="10" t="str">
        <x:v>否</x:v>
      </x:c>
      <x:c r="G76" s="12" t="n">
        <x:v>23</x:v>
      </x:c>
      <x:c r="H76" s="34" t="n">
        <x:v>0.5381312402197351</x:v>
      </x:c>
      <x:c r="I76" s="12" t="n">
        <x:v>120</x:v>
      </x:c>
      <x:c r="J76" s="34" t="n">
        <x:v>0.392140976008707</x:v>
      </x:c>
      <x:c r="K76" s="10" t="str"/>
      <x:c r="L76" s="2"/>
      <x:c r="M76" s="2"/>
      <x:c r="N76" s="2"/>
      <x:c r="O76" s="2"/>
      <x:c r="P76" s="2"/>
      <x:c r="Q76" s="2"/>
      <x:c r="R76" s="2"/>
    </x:row>
    <x:row r="77" ht="24" customHeight="1">
      <x:c r="A77" s="2" t="str">
        <x:v>TN</x:v>
      </x:c>
      <x:c r="B77" s="2" t="str">
        <x:v>MAT</x:v>
      </x:c>
      <x:c r="C77" s="11" t="n">
        <x:v>143</x:v>
      </x:c>
      <x:c r="D77" s="19" t="n">
        <x:v>-0.3887465107904317</x:v>
      </x:c>
      <x:c r="E77" s="19" t="n">
        <x:v>-0.3764473120351958</x:v>
      </x:c>
      <x:c r="F77" s="2" t="str">
        <x:v>否</x:v>
      </x:c>
      <x:c r="G77" s="11" t="n">
        <x:v>23</x:v>
      </x:c>
      <x:c r="H77" s="19" t="n">
        <x:v>-0.4762082818959647</x:v>
      </x:c>
      <x:c r="I77" s="11" t="n">
        <x:v>120</x:v>
      </x:c>
      <x:c r="J77" s="19" t="n">
        <x:v>-0.4223407910149306</x:v>
      </x:c>
      <x:c r="K77" s="2" t="str"/>
      <x:c r="L77" s="2"/>
      <x:c r="M77" s="2"/>
      <x:c r="N77" s="2"/>
      <x:c r="O77" s="2"/>
      <x:c r="P77" s="2"/>
      <x:c r="Q77" s="2"/>
      <x:c r="R77" s="2"/>
    </x:row>
    <x:row r="78" ht="24" customHeight="1">
      <x:c r="A78" s="10" t="str">
        <x:v>TN</x:v>
      </x:c>
      <x:c r="B78" s="10" t="str">
        <x:v>TP</x:v>
      </x:c>
      <x:c r="C78" s="12" t="n">
        <x:v>143</x:v>
      </x:c>
      <x:c r="D78" s="34" t="n">
        <x:v>0.3845298356972103</x:v>
      </x:c>
      <x:c r="E78" s="34" t="n">
        <x:v>0.43416970353590073</x:v>
      </x:c>
      <x:c r="F78" s="10" t="str">
        <x:v>否</x:v>
      </x:c>
      <x:c r="G78" s="12" t="n">
        <x:v>23</x:v>
      </x:c>
      <x:c r="H78" s="34" t="n">
        <x:v>0.13740336252588298</x:v>
      </x:c>
      <x:c r="I78" s="12" t="n">
        <x:v>120</x:v>
      </x:c>
      <x:c r="J78" s="34" t="n">
        <x:v>0.6922178395445739</x:v>
      </x:c>
      <x:c r="K78" s="10" t="str"/>
      <x:c r="L78" s="2"/>
      <x:c r="M78" s="2"/>
      <x:c r="N78" s="2"/>
      <x:c r="O78" s="2"/>
      <x:c r="P78" s="2"/>
      <x:c r="Q78" s="2"/>
      <x:c r="R78" s="2"/>
    </x:row>
    <x:row r="79" ht="24" customHeight="1">
      <x:c r="A79" s="2" t="str">
        <x:v>SWC</x:v>
      </x:c>
      <x:c r="B79" s="2" t="str">
        <x:v>LON</x:v>
      </x:c>
      <x:c r="C79" s="11" t="n">
        <x:v>143</x:v>
      </x:c>
      <x:c r="D79" s="19" t="n">
        <x:v>0.3826534656812737</x:v>
      </x:c>
      <x:c r="E79" s="19" t="n">
        <x:v>0.38302718408352204</x:v>
      </x:c>
      <x:c r="F79" s="2" t="str">
        <x:v>否</x:v>
      </x:c>
      <x:c r="G79" s="11" t="n">
        <x:v>23</x:v>
      </x:c>
      <x:c r="H79" s="19" t="n">
        <x:v>-0.44213709600495094</x:v>
      </x:c>
      <x:c r="I79" s="11" t="n">
        <x:v>120</x:v>
      </x:c>
      <x:c r="J79" s="19" t="n">
        <x:v>0.1899339760649987</x:v>
      </x:c>
      <x:c r="K79" s="2" t="str"/>
      <x:c r="L79" s="2"/>
      <x:c r="M79" s="2"/>
      <x:c r="N79" s="2"/>
      <x:c r="O79" s="2"/>
      <x:c r="P79" s="2"/>
      <x:c r="Q79" s="2"/>
      <x:c r="R79" s="2"/>
    </x:row>
    <x:row r="80" ht="24" customHeight="1">
      <x:c r="A80" s="10" t="str">
        <x:v>SOC</x:v>
      </x:c>
      <x:c r="B80" s="10" t="str">
        <x:v>MAT</x:v>
      </x:c>
      <x:c r="C80" s="12" t="n">
        <x:v>143</x:v>
      </x:c>
      <x:c r="D80" s="34" t="n">
        <x:v>0.38124517785506284</x:v>
      </x:c>
      <x:c r="E80" s="34" t="n">
        <x:v>0.30384168176512727</x:v>
      </x:c>
      <x:c r="F80" s="10" t="str">
        <x:v>否</x:v>
      </x:c>
      <x:c r="G80" s="12" t="n">
        <x:v>23</x:v>
      </x:c>
      <x:c r="H80" s="34" t="n">
        <x:v>0.06646305526638836</x:v>
      </x:c>
      <x:c r="I80" s="12" t="n">
        <x:v>120</x:v>
      </x:c>
      <x:c r="J80" s="34" t="n">
        <x:v>0.43161008253728095</x:v>
      </x:c>
      <x:c r="K80" s="10" t="str"/>
      <x:c r="L80" s="2"/>
      <x:c r="M80" s="2"/>
      <x:c r="N80" s="2"/>
      <x:c r="O80" s="2"/>
      <x:c r="P80" s="2"/>
      <x:c r="Q80" s="2"/>
      <x:c r="R80" s="2"/>
    </x:row>
    <x:row r="81" ht="24" customHeight="1">
      <x:c r="A81" s="2" t="str">
        <x:v>LAT</x:v>
      </x:c>
      <x:c r="B81" s="2" t="str">
        <x:v>SAL</x:v>
      </x:c>
      <x:c r="C81" s="11" t="n">
        <x:v>143</x:v>
      </x:c>
      <x:c r="D81" s="19" t="n">
        <x:v>-0.38069171920731915</x:v>
      </x:c>
      <x:c r="E81" s="19" t="n">
        <x:v>-0.06279781181785661</x:v>
      </x:c>
      <x:c r="F81" s="2" t="str">
        <x:v>否</x:v>
      </x:c>
      <x:c r="G81" s="11" t="n">
        <x:v>23</x:v>
      </x:c>
      <x:c r="H81" s="19" t="n">
        <x:v>0.5047830891723185</x:v>
      </x:c>
      <x:c r="I81" s="11" t="n">
        <x:v>120</x:v>
      </x:c>
      <x:c r="J81" s="19" t="n">
        <x:v>0.23650812661540832</x:v>
      </x:c>
      <x:c r="K81" s="2" t="str"/>
      <x:c r="L81" s="2"/>
      <x:c r="M81" s="2"/>
      <x:c r="N81" s="2"/>
      <x:c r="O81" s="2"/>
      <x:c r="P81" s="2"/>
      <x:c r="Q81" s="2"/>
      <x:c r="R81" s="2"/>
    </x:row>
    <x:row r="82" ht="24" customHeight="1">
      <x:c r="A82" s="10" t="str">
        <x:v>SWC</x:v>
      </x:c>
      <x:c r="B82" s="10" t="str">
        <x:v>MAP</x:v>
      </x:c>
      <x:c r="C82" s="12" t="n">
        <x:v>143</x:v>
      </x:c>
      <x:c r="D82" s="34" t="n">
        <x:v>0.3790371269402239</x:v>
      </x:c>
      <x:c r="E82" s="34" t="n">
        <x:v>0.3393460135564188</x:v>
      </x:c>
      <x:c r="F82" s="10" t="str">
        <x:v>否</x:v>
      </x:c>
      <x:c r="G82" s="12" t="n">
        <x:v>23</x:v>
      </x:c>
      <x:c r="H82" s="34" t="n">
        <x:v>-0.5110479294214882</x:v>
      </x:c>
      <x:c r="I82" s="12" t="n">
        <x:v>120</x:v>
      </x:c>
      <x:c r="J82" s="34" t="n">
        <x:v>0.15650981302618597</x:v>
      </x:c>
      <x:c r="K82" s="10" t="str"/>
      <x:c r="L82" s="2"/>
      <x:c r="M82" s="2"/>
      <x:c r="N82" s="2"/>
      <x:c r="O82" s="2"/>
      <x:c r="P82" s="2"/>
      <x:c r="Q82" s="2"/>
      <x:c r="R82" s="2"/>
    </x:row>
    <x:row r="83" ht="24" customHeight="1">
      <x:c r="A83" s="2" t="str">
        <x:v>CP</x:v>
      </x:c>
      <x:c r="B83" s="2" t="str">
        <x:v>MAT</x:v>
      </x:c>
      <x:c r="C83" s="11" t="n">
        <x:v>143</x:v>
      </x:c>
      <x:c r="D83" s="19" t="n">
        <x:v>-0.3668551623270662</x:v>
      </x:c>
      <x:c r="E83" s="19" t="n">
        <x:v>-0.31458431793328684</x:v>
      </x:c>
      <x:c r="F83" s="2" t="str">
        <x:v>否</x:v>
      </x:c>
      <x:c r="G83" s="11" t="n">
        <x:v>23</x:v>
      </x:c>
      <x:c r="H83" s="19" t="n">
        <x:v>-0.3144557445993278</x:v>
      </x:c>
      <x:c r="I83" s="11" t="n">
        <x:v>120</x:v>
      </x:c>
      <x:c r="J83" s="19" t="n">
        <x:v>-0.39021757452565353</x:v>
      </x:c>
      <x:c r="K83" s="2" t="str"/>
      <x:c r="L83" s="2"/>
      <x:c r="M83" s="2"/>
      <x:c r="N83" s="2"/>
      <x:c r="O83" s="2"/>
      <x:c r="P83" s="2"/>
      <x:c r="Q83" s="2"/>
      <x:c r="R83" s="2"/>
    </x:row>
    <x:row r="84" ht="24" customHeight="1">
      <x:c r="A84" s="10" t="str">
        <x:v>SAL</x:v>
      </x:c>
      <x:c r="B84" s="10" t="str">
        <x:v>NP</x:v>
      </x:c>
      <x:c r="C84" s="12" t="n">
        <x:v>143</x:v>
      </x:c>
      <x:c r="D84" s="34" t="n">
        <x:v>0.3516004576362011</x:v>
      </x:c>
      <x:c r="E84" s="34" t="n">
        <x:v>0.41026101827099976</x:v>
      </x:c>
      <x:c r="F84" s="10" t="str">
        <x:v>否</x:v>
      </x:c>
      <x:c r="G84" s="12" t="n">
        <x:v>23</x:v>
      </x:c>
      <x:c r="H84" s="34" t="n">
        <x:v>0.30577193708110056</x:v>
      </x:c>
      <x:c r="I84" s="12" t="n">
        <x:v>120</x:v>
      </x:c>
      <x:c r="J84" s="34" t="n">
        <x:v>0.38052238757815743</x:v>
      </x:c>
      <x:c r="K84" s="10" t="str"/>
      <x:c r="L84" s="2"/>
      <x:c r="M84" s="2"/>
      <x:c r="N84" s="2"/>
      <x:c r="O84" s="2"/>
      <x:c r="P84" s="2"/>
      <x:c r="Q84" s="2"/>
      <x:c r="R84" s="2"/>
    </x:row>
    <x:row r="85" ht="24" customHeight="1">
      <x:c r="A85" s="2" t="str">
        <x:v>BD</x:v>
      </x:c>
      <x:c r="B85" s="2" t="str">
        <x:v>LAT</x:v>
      </x:c>
      <x:c r="C85" s="11" t="n">
        <x:v>143</x:v>
      </x:c>
      <x:c r="D85" s="19" t="n">
        <x:v>-0.34813485150035056</x:v>
      </x:c>
      <x:c r="E85" s="19" t="n">
        <x:v>-0.1210317338382393</x:v>
      </x:c>
      <x:c r="F85" s="2" t="str">
        <x:v>否</x:v>
      </x:c>
      <x:c r="G85" s="11" t="n">
        <x:v>23</x:v>
      </x:c>
      <x:c r="H85" s="19" t="n">
        <x:v>-0.23533116228317033</x:v>
      </x:c>
      <x:c r="I85" s="11" t="n">
        <x:v>120</x:v>
      </x:c>
      <x:c r="J85" s="19" t="n">
        <x:v>0.31107117673132245</x:v>
      </x:c>
      <x:c r="K85" s="2" t="str"/>
      <x:c r="L85" s="2"/>
      <x:c r="M85" s="2"/>
      <x:c r="N85" s="2"/>
      <x:c r="O85" s="2"/>
      <x:c r="P85" s="2"/>
      <x:c r="Q85" s="2"/>
      <x:c r="R85" s="2"/>
    </x:row>
    <x:row r="86" ht="24" customHeight="1">
      <x:c r="A86" s="10" t="str">
        <x:v>POR</x:v>
      </x:c>
      <x:c r="B86" s="10" t="str">
        <x:v>LAT</x:v>
      </x:c>
      <x:c r="C86" s="12" t="n">
        <x:v>143</x:v>
      </x:c>
      <x:c r="D86" s="34" t="n">
        <x:v>0.34803699194948157</x:v>
      </x:c>
      <x:c r="E86" s="34" t="n">
        <x:v>0.12052148344230519</x:v>
      </x:c>
      <x:c r="F86" s="10" t="str">
        <x:v>否</x:v>
      </x:c>
      <x:c r="G86" s="12" t="n">
        <x:v>23</x:v>
      </x:c>
      <x:c r="H86" s="34" t="n">
        <x:v>0.23530741806647562</x:v>
      </x:c>
      <x:c r="I86" s="12" t="n">
        <x:v>120</x:v>
      </x:c>
      <x:c r="J86" s="34" t="n">
        <x:v>-0.31115471079632423</x:v>
      </x:c>
      <x:c r="K86" s="10" t="str"/>
      <x:c r="L86" s="2"/>
      <x:c r="M86" s="2"/>
      <x:c r="N86" s="2"/>
      <x:c r="O86" s="2"/>
      <x:c r="P86" s="2"/>
      <x:c r="Q86" s="2"/>
      <x:c r="R86" s="2"/>
    </x:row>
    <x:row r="87" ht="24" customHeight="1">
      <x:c r="A87" s="2" t="str">
        <x:v>LAT</x:v>
      </x:c>
      <x:c r="B87" s="2" t="str">
        <x:v>DEST</x:v>
      </x:c>
      <x:c r="C87" s="11" t="n">
        <x:v>143</x:v>
      </x:c>
      <x:c r="D87" s="19" t="n">
        <x:v>-0.3441040505515424</x:v>
      </x:c>
      <x:c r="E87" s="19" t="n">
        <x:v>-0.3166182409140155</x:v>
      </x:c>
      <x:c r="F87" s="2" t="str">
        <x:v>否</x:v>
      </x:c>
      <x:c r="G87" s="11" t="n">
        <x:v>23</x:v>
      </x:c>
      <x:c r="H87" s="19" t="n">
        <x:v>0.9864717377775851</x:v>
      </x:c>
      <x:c r="I87" s="11" t="n">
        <x:v>120</x:v>
      </x:c>
      <x:c r="J87" s="19" t="n">
        <x:v>-0.32689970330995305</x:v>
      </x:c>
      <x:c r="K87" s="2" t="str"/>
      <x:c r="L87" s="2"/>
      <x:c r="M87" s="2"/>
      <x:c r="N87" s="2"/>
      <x:c r="O87" s="2"/>
      <x:c r="P87" s="2"/>
      <x:c r="Q87" s="2"/>
      <x:c r="R87" s="2"/>
    </x:row>
    <x:row r="88" ht="24" customHeight="1">
      <x:c r="A88" s="10" t="str">
        <x:v>SAL</x:v>
      </x:c>
      <x:c r="B88" s="10" t="str">
        <x:v>TP</x:v>
      </x:c>
      <x:c r="C88" s="12" t="n">
        <x:v>143</x:v>
      </x:c>
      <x:c r="D88" s="34" t="n">
        <x:v>0.3399442532558386</x:v>
      </x:c>
      <x:c r="E88" s="34" t="n">
        <x:v>0.34755787124525744</x:v>
      </x:c>
      <x:c r="F88" s="10" t="str">
        <x:v>否</x:v>
      </x:c>
      <x:c r="G88" s="12" t="n">
        <x:v>23</x:v>
      </x:c>
      <x:c r="H88" s="34" t="n">
        <x:v>0.02415088905931318</x:v>
      </x:c>
      <x:c r="I88" s="12" t="n">
        <x:v>120</x:v>
      </x:c>
      <x:c r="J88" s="34" t="n">
        <x:v>0.19069467965898412</x:v>
      </x:c>
      <x:c r="K88" s="10" t="str"/>
      <x:c r="L88" s="2"/>
      <x:c r="M88" s="2"/>
      <x:c r="N88" s="2"/>
      <x:c r="O88" s="2"/>
      <x:c r="P88" s="2"/>
      <x:c r="Q88" s="2"/>
      <x:c r="R88" s="2"/>
    </x:row>
    <x:row r="89" ht="24" customHeight="1">
      <x:c r="A89" s="2" t="str">
        <x:v>NP</x:v>
      </x:c>
      <x:c r="B89" s="2" t="str">
        <x:v>MAT</x:v>
      </x:c>
      <x:c r="C89" s="11" t="n">
        <x:v>143</x:v>
      </x:c>
      <x:c r="D89" s="19" t="n">
        <x:v>-0.33804347445317906</x:v>
      </x:c>
      <x:c r="E89" s="19" t="n">
        <x:v>-0.28911922055794703</x:v>
      </x:c>
      <x:c r="F89" s="2" t="str">
        <x:v>否</x:v>
      </x:c>
      <x:c r="G89" s="11" t="n">
        <x:v>23</x:v>
      </x:c>
      <x:c r="H89" s="19" t="n">
        <x:v>-0.27615262325229395</x:v>
      </x:c>
      <x:c r="I89" s="11" t="n">
        <x:v>120</x:v>
      </x:c>
      <x:c r="J89" s="19" t="n">
        <x:v>-0.361916461234101</x:v>
      </x:c>
      <x:c r="K89" s="2" t="str"/>
      <x:c r="L89" s="2"/>
      <x:c r="M89" s="2"/>
      <x:c r="N89" s="2"/>
      <x:c r="O89" s="2"/>
      <x:c r="P89" s="2"/>
      <x:c r="Q89" s="2"/>
      <x:c r="R89" s="2"/>
    </x:row>
    <x:row r="90" ht="24" customHeight="1">
      <x:c r="A90" s="10" t="str">
        <x:v>SAL</x:v>
      </x:c>
      <x:c r="B90" s="10" t="str">
        <x:v>CN</x:v>
      </x:c>
      <x:c r="C90" s="12" t="n">
        <x:v>143</x:v>
      </x:c>
      <x:c r="D90" s="34" t="n">
        <x:v>0.3363235638713907</x:v>
      </x:c>
      <x:c r="E90" s="34" t="n">
        <x:v>0.31074905957328736</x:v>
      </x:c>
      <x:c r="F90" s="10" t="str">
        <x:v>否</x:v>
      </x:c>
      <x:c r="G90" s="12" t="n">
        <x:v>23</x:v>
      </x:c>
      <x:c r="H90" s="34" t="n">
        <x:v>0.1425138808868204</x:v>
      </x:c>
      <x:c r="I90" s="12" t="n">
        <x:v>120</x:v>
      </x:c>
      <x:c r="J90" s="34" t="n">
        <x:v>0.4070664490043204</x:v>
      </x:c>
      <x:c r="K90" s="10" t="str"/>
      <x:c r="L90" s="2"/>
      <x:c r="M90" s="2"/>
      <x:c r="N90" s="2"/>
      <x:c r="O90" s="2"/>
      <x:c r="P90" s="2"/>
      <x:c r="Q90" s="2"/>
      <x:c r="R90" s="2"/>
    </x:row>
    <x:row r="91" ht="24" customHeight="1">
      <x:c r="A91" s="2" t="str">
        <x:v>SWC</x:v>
      </x:c>
      <x:c r="B91" s="2" t="str">
        <x:v>LAT</x:v>
      </x:c>
      <x:c r="C91" s="11" t="n">
        <x:v>143</x:v>
      </x:c>
      <x:c r="D91" s="19" t="n">
        <x:v>0.3326369297737642</x:v>
      </x:c>
      <x:c r="E91" s="19" t="n">
        <x:v>0.11023835319609968</x:v>
      </x:c>
      <x:c r="F91" s="2" t="str">
        <x:v>否</x:v>
      </x:c>
      <x:c r="G91" s="11" t="n">
        <x:v>23</x:v>
      </x:c>
      <x:c r="H91" s="19" t="n">
        <x:v>0.518740271164767</x:v>
      </x:c>
      <x:c r="I91" s="11" t="n">
        <x:v>120</x:v>
      </x:c>
      <x:c r="J91" s="19" t="n">
        <x:v>-0.17826605715197633</x:v>
      </x:c>
      <x:c r="K91" s="2" t="str"/>
      <x:c r="L91" s="2"/>
      <x:c r="M91" s="2"/>
      <x:c r="N91" s="2"/>
      <x:c r="O91" s="2"/>
      <x:c r="P91" s="2"/>
      <x:c r="Q91" s="2"/>
      <x:c r="R91" s="2"/>
    </x:row>
    <x:row r="92" ht="24" customHeight="1">
      <x:c r="A92" s="10" t="str">
        <x:v>SOC</x:v>
      </x:c>
      <x:c r="B92" s="10" t="str">
        <x:v>DEST</x:v>
      </x:c>
      <x:c r="C92" s="12" t="n">
        <x:v>143</x:v>
      </x:c>
      <x:c r="D92" s="34" t="n">
        <x:v>0.3249870156318303</x:v>
      </x:c>
      <x:c r="E92" s="34" t="n">
        <x:v>0.3776716241504974</x:v>
      </x:c>
      <x:c r="F92" s="10" t="str">
        <x:v>否</x:v>
      </x:c>
      <x:c r="G92" s="12" t="n">
        <x:v>23</x:v>
      </x:c>
      <x:c r="H92" s="34" t="n">
        <x:v>0.13051305942289262</x:v>
      </x:c>
      <x:c r="I92" s="12" t="n">
        <x:v>120</x:v>
      </x:c>
      <x:c r="J92" s="34" t="n">
        <x:v>0.40603727308283943</x:v>
      </x:c>
      <x:c r="K92" s="10" t="str"/>
      <x:c r="L92" s="2"/>
      <x:c r="M92" s="2"/>
      <x:c r="N92" s="2"/>
      <x:c r="O92" s="2"/>
      <x:c r="P92" s="2"/>
      <x:c r="Q92" s="2"/>
      <x:c r="R92" s="2"/>
    </x:row>
    <x:row r="93" ht="24" customHeight="1">
      <x:c r="A93" s="2" t="str">
        <x:v>LAT</x:v>
      </x:c>
      <x:c r="B93" s="2" t="str">
        <x:v>MAT</x:v>
      </x:c>
      <x:c r="C93" s="11" t="n">
        <x:v>143</x:v>
      </x:c>
      <x:c r="D93" s="19" t="n">
        <x:v>-0.31133650302391175</x:v>
      </x:c>
      <x:c r="E93" s="19" t="n">
        <x:v>-0.7640621925766474</x:v>
      </x:c>
      <x:c r="F93" s="2" t="str">
        <x:v>否</x:v>
      </x:c>
      <x:c r="G93" s="11" t="n">
        <x:v>23</x:v>
      </x:c>
      <x:c r="H93" s="19" t="n">
        <x:v>-0.0006296267869512757</x:v>
      </x:c>
      <x:c r="I93" s="11" t="n">
        <x:v>120</x:v>
      </x:c>
      <x:c r="J93" s="19" t="n">
        <x:v>-0.8252602077248549</x:v>
      </x:c>
      <x:c r="K93" s="2" t="str"/>
      <x:c r="L93" s="2"/>
      <x:c r="M93" s="2"/>
      <x:c r="N93" s="2"/>
      <x:c r="O93" s="2"/>
      <x:c r="P93" s="2"/>
      <x:c r="Q93" s="2"/>
      <x:c r="R93" s="2"/>
    </x:row>
    <x:row r="94" ht="24" customHeight="1">
      <x:c r="A94" s="10" t="str">
        <x:v>LAT</x:v>
      </x:c>
      <x:c r="B94" s="10" t="str">
        <x:v>DCOAST</x:v>
      </x:c>
      <x:c r="C94" s="12" t="n">
        <x:v>143</x:v>
      </x:c>
      <x:c r="D94" s="34" t="n">
        <x:v>-0.3108666878714445</x:v>
      </x:c>
      <x:c r="E94" s="34" t="n">
        <x:v>-0.26272612364161657</x:v>
      </x:c>
      <x:c r="F94" s="10" t="str">
        <x:v>否</x:v>
      </x:c>
      <x:c r="G94" s="12" t="n">
        <x:v>23</x:v>
      </x:c>
      <x:c r="H94" s="34" t="n">
        <x:v>0.9517454386151414</x:v>
      </x:c>
      <x:c r="I94" s="12" t="n">
        <x:v>120</x:v>
      </x:c>
      <x:c r="J94" s="34" t="n">
        <x:v>-0.10425561226114748</x:v>
      </x:c>
      <x:c r="K94" s="10" t="str"/>
      <x:c r="L94" s="2"/>
      <x:c r="M94" s="2"/>
      <x:c r="N94" s="2"/>
      <x:c r="O94" s="2"/>
      <x:c r="P94" s="2"/>
      <x:c r="Q94" s="2"/>
      <x:c r="R94" s="2"/>
    </x:row>
    <x:row r="95" ht="24" customHeight="1">
      <x:c r="A95" s="2" t="str">
        <x:v>BD</x:v>
      </x:c>
      <x:c r="B95" s="2" t="str">
        <x:v>SAL</x:v>
      </x:c>
      <x:c r="C95" s="11" t="n">
        <x:v>143</x:v>
      </x:c>
      <x:c r="D95" s="19" t="n">
        <x:v>0.30931044264493057</x:v>
      </x:c>
      <x:c r="E95" s="19" t="n">
        <x:v>0.2988218059634429</x:v>
      </x:c>
      <x:c r="F95" s="2" t="str">
        <x:v>否</x:v>
      </x:c>
      <x:c r="G95" s="11" t="n">
        <x:v>23</x:v>
      </x:c>
      <x:c r="H95" s="19" t="n">
        <x:v>-0.21229964563811457</x:v>
      </x:c>
      <x:c r="I95" s="11" t="n">
        <x:v>120</x:v>
      </x:c>
      <x:c r="J95" s="19" t="n">
        <x:v>0.19242142666127654</x:v>
      </x:c>
      <x:c r="K95" s="2" t="str"/>
      <x:c r="L95" s="2"/>
      <x:c r="M95" s="2"/>
      <x:c r="N95" s="2"/>
      <x:c r="O95" s="2"/>
      <x:c r="P95" s="2"/>
      <x:c r="Q95" s="2"/>
      <x:c r="R95" s="2"/>
    </x:row>
    <x:row r="96" ht="24" customHeight="1">
      <x:c r="A96" s="10" t="str">
        <x:v>POR</x:v>
      </x:c>
      <x:c r="B96" s="10" t="str">
        <x:v>SAL</x:v>
      </x:c>
      <x:c r="C96" s="12" t="n">
        <x:v>143</x:v>
      </x:c>
      <x:c r="D96" s="34" t="n">
        <x:v>-0.3092677670810614</x:v>
      </x:c>
      <x:c r="E96" s="34" t="n">
        <x:v>-0.29848284653765933</x:v>
      </x:c>
      <x:c r="F96" s="10" t="str">
        <x:v>否</x:v>
      </x:c>
      <x:c r="G96" s="12" t="n">
        <x:v>23</x:v>
      </x:c>
      <x:c r="H96" s="34" t="n">
        <x:v>0.2125661164011383</x:v>
      </x:c>
      <x:c r="I96" s="12" t="n">
        <x:v>120</x:v>
      </x:c>
      <x:c r="J96" s="34" t="n">
        <x:v>-0.1924154254185111</x:v>
      </x:c>
      <x:c r="K96" s="10" t="str"/>
      <x:c r="L96" s="2"/>
      <x:c r="M96" s="2"/>
      <x:c r="N96" s="2"/>
      <x:c r="O96" s="2"/>
      <x:c r="P96" s="2"/>
      <x:c r="Q96" s="2"/>
      <x:c r="R96" s="2"/>
    </x:row>
    <x:row r="97" ht="24" customHeight="1">
      <x:c r="A97" s="2" t="str">
        <x:v>LON</x:v>
      </x:c>
      <x:c r="B97" s="2" t="str">
        <x:v>DCOAST</x:v>
      </x:c>
      <x:c r="C97" s="11" t="n">
        <x:v>143</x:v>
      </x:c>
      <x:c r="D97" s="19" t="n">
        <x:v>-0.29520171832670467</x:v>
      </x:c>
      <x:c r="E97" s="19" t="n">
        <x:v>-0.27461505630519717</x:v>
      </x:c>
      <x:c r="F97" s="2" t="str">
        <x:v>否</x:v>
      </x:c>
      <x:c r="G97" s="11" t="n">
        <x:v>23</x:v>
      </x:c>
      <x:c r="H97" s="19" t="n">
        <x:v>-0.8932265859995948</x:v>
      </x:c>
      <x:c r="I97" s="11" t="n">
        <x:v>120</x:v>
      </x:c>
      <x:c r="J97" s="19" t="n">
        <x:v>0.01840155364301153</x:v>
      </x:c>
      <x:c r="K97" s="2" t="str"/>
      <x:c r="L97" s="2"/>
      <x:c r="M97" s="2"/>
      <x:c r="N97" s="2"/>
      <x:c r="O97" s="2"/>
      <x:c r="P97" s="2"/>
      <x:c r="Q97" s="2"/>
      <x:c r="R97" s="2"/>
    </x:row>
    <x:row r="98" ht="24" customHeight="1">
      <x:c r="A98" s="10" t="str">
        <x:v>POR</x:v>
      </x:c>
      <x:c r="B98" s="10" t="str">
        <x:v>MAT</x:v>
      </x:c>
      <x:c r="C98" s="12" t="n">
        <x:v>143</x:v>
      </x:c>
      <x:c r="D98" s="34" t="n">
        <x:v>0.28824982530868315</x:v>
      </x:c>
      <x:c r="E98" s="34" t="n">
        <x:v>0.14283229587950516</x:v>
      </x:c>
      <x:c r="F98" s="10" t="str">
        <x:v>否</x:v>
      </x:c>
      <x:c r="G98" s="12" t="n">
        <x:v>23</x:v>
      </x:c>
      <x:c r="H98" s="34" t="n">
        <x:v>-0.47605975858941474</x:v>
      </x:c>
      <x:c r="I98" s="12" t="n">
        <x:v>120</x:v>
      </x:c>
      <x:c r="J98" s="34" t="n">
        <x:v>0.40238739534423995</x:v>
      </x:c>
      <x:c r="K98" s="10" t="str"/>
      <x:c r="L98" s="2"/>
      <x:c r="M98" s="2"/>
      <x:c r="N98" s="2"/>
      <x:c r="O98" s="2"/>
      <x:c r="P98" s="2"/>
      <x:c r="Q98" s="2"/>
      <x:c r="R98" s="2"/>
    </x:row>
    <x:row r="99" ht="24" customHeight="1">
      <x:c r="A99" s="2" t="str">
        <x:v>BD</x:v>
      </x:c>
      <x:c r="B99" s="2" t="str">
        <x:v>MAT</x:v>
      </x:c>
      <x:c r="C99" s="11" t="n">
        <x:v>143</x:v>
      </x:c>
      <x:c r="D99" s="19" t="n">
        <x:v>-0.28812639323427486</x:v>
      </x:c>
      <x:c r="E99" s="19" t="n">
        <x:v>-0.14272091531694267</x:v>
      </x:c>
      <x:c r="F99" s="2" t="str">
        <x:v>否</x:v>
      </x:c>
      <x:c r="G99" s="11" t="n">
        <x:v>23</x:v>
      </x:c>
      <x:c r="H99" s="19" t="n">
        <x:v>0.47602811637459</x:v>
      </x:c>
      <x:c r="I99" s="11" t="n">
        <x:v>120</x:v>
      </x:c>
      <x:c r="J99" s="19" t="n">
        <x:v>-0.40228575730144084</x:v>
      </x:c>
      <x:c r="K99" s="2" t="str"/>
      <x:c r="L99" s="2"/>
      <x:c r="M99" s="2"/>
      <x:c r="N99" s="2"/>
      <x:c r="O99" s="2"/>
      <x:c r="P99" s="2"/>
      <x:c r="Q99" s="2"/>
      <x:c r="R99" s="2"/>
    </x:row>
    <x:row r="100" ht="24" customHeight="1">
      <x:c r="A100" s="10" t="str">
        <x:v>pH</x:v>
      </x:c>
      <x:c r="B100" s="10" t="str">
        <x:v>NP</x:v>
      </x:c>
      <x:c r="C100" s="12" t="n">
        <x:v>143</x:v>
      </x:c>
      <x:c r="D100" s="34" t="n">
        <x:v>-0.28712041502226027</x:v>
      </x:c>
      <x:c r="E100" s="34" t="n">
        <x:v>-0.22438631594935016</x:v>
      </x:c>
      <x:c r="F100" s="10" t="str">
        <x:v>否</x:v>
      </x:c>
      <x:c r="G100" s="12" t="n">
        <x:v>23</x:v>
      </x:c>
      <x:c r="H100" s="34" t="n">
        <x:v>0.32793061232603055</x:v>
      </x:c>
      <x:c r="I100" s="12" t="n">
        <x:v>120</x:v>
      </x:c>
      <x:c r="J100" s="34" t="n">
        <x:v>-0.38837699886572163</x:v>
      </x:c>
      <x:c r="K100" s="10" t="str"/>
      <x:c r="L100" s="2"/>
      <x:c r="M100" s="2"/>
      <x:c r="N100" s="2"/>
      <x:c r="O100" s="2"/>
      <x:c r="P100" s="2"/>
      <x:c r="Q100" s="2"/>
      <x:c r="R100" s="2"/>
    </x:row>
    <x:row r="101" ht="24" customHeight="1">
      <x:c r="A101" s="2" t="str">
        <x:v>MAP</x:v>
      </x:c>
      <x:c r="B101" s="2" t="str">
        <x:v>DCOAST</x:v>
      </x:c>
      <x:c r="C101" s="11" t="n">
        <x:v>143</x:v>
      </x:c>
      <x:c r="D101" s="19" t="n">
        <x:v>-0.2866179697345724</x:v>
      </x:c>
      <x:c r="E101" s="19" t="n">
        <x:v>-0.19864487854079643</x:v>
      </x:c>
      <x:c r="F101" s="2" t="str">
        <x:v>否</x:v>
      </x:c>
      <x:c r="G101" s="11" t="n">
        <x:v>23</x:v>
      </x:c>
      <x:c r="H101" s="19" t="n">
        <x:v>-0.8648408153910069</x:v>
      </x:c>
      <x:c r="I101" s="11" t="n">
        <x:v>120</x:v>
      </x:c>
      <x:c r="J101" s="19" t="n">
        <x:v>0.08353746945466285</x:v>
      </x:c>
      <x:c r="K101" s="2" t="str"/>
      <x:c r="L101" s="2"/>
      <x:c r="M101" s="2"/>
      <x:c r="N101" s="2"/>
      <x:c r="O101" s="2"/>
      <x:c r="P101" s="2"/>
      <x:c r="Q101" s="2"/>
      <x:c r="R101" s="2"/>
    </x:row>
    <x:row r="102" ht="24" customHeight="1">
      <x:c r="A102" s="10" t="str">
        <x:v>CN</x:v>
      </x:c>
      <x:c r="B102" s="10" t="str">
        <x:v>DCOAST</x:v>
      </x:c>
      <x:c r="C102" s="12" t="n">
        <x:v>143</x:v>
      </x:c>
      <x:c r="D102" s="34" t="n">
        <x:v>-0.27779916487937467</x:v>
      </x:c>
      <x:c r="E102" s="34" t="n">
        <x:v>-0.3201126110935789</x:v>
      </x:c>
      <x:c r="F102" s="10" t="str">
        <x:v>否</x:v>
      </x:c>
      <x:c r="G102" s="12" t="n">
        <x:v>23</x:v>
      </x:c>
      <x:c r="H102" s="34" t="n">
        <x:v>-0.07708498677872622</x:v>
      </x:c>
      <x:c r="I102" s="12" t="n">
        <x:v>120</x:v>
      </x:c>
      <x:c r="J102" s="34" t="n">
        <x:v>-0.28688975733280003</x:v>
      </x:c>
      <x:c r="K102" s="10" t="str"/>
      <x:c r="L102" s="2"/>
      <x:c r="M102" s="2"/>
      <x:c r="N102" s="2"/>
      <x:c r="O102" s="2"/>
      <x:c r="P102" s="2"/>
      <x:c r="Q102" s="2"/>
      <x:c r="R102" s="2"/>
    </x:row>
    <x:row r="103" ht="24" customHeight="1">
      <x:c r="A103" s="2" t="str">
        <x:v>LON</x:v>
      </x:c>
      <x:c r="B103" s="2" t="str">
        <x:v>DEST</x:v>
      </x:c>
      <x:c r="C103" s="11" t="n">
        <x:v>143</x:v>
      </x:c>
      <x:c r="D103" s="19" t="n">
        <x:v>-0.27144061156276394</x:v>
      </x:c>
      <x:c r="E103" s="19" t="n">
        <x:v>-0.05781952788995042</x:v>
      </x:c>
      <x:c r="F103" s="2" t="str">
        <x:v>否</x:v>
      </x:c>
      <x:c r="G103" s="11" t="n">
        <x:v>23</x:v>
      </x:c>
      <x:c r="H103" s="19" t="n">
        <x:v>-0.9990101517114112</x:v>
      </x:c>
      <x:c r="I103" s="11" t="n">
        <x:v>120</x:v>
      </x:c>
      <x:c r="J103" s="19" t="n">
        <x:v>0.25837322847127336</x:v>
      </x:c>
      <x:c r="K103" s="2" t="str"/>
      <x:c r="L103" s="2"/>
      <x:c r="M103" s="2"/>
      <x:c r="N103" s="2"/>
      <x:c r="O103" s="2"/>
      <x:c r="P103" s="2"/>
      <x:c r="Q103" s="2"/>
      <x:c r="R103" s="2"/>
    </x:row>
    <x:row r="104" ht="24" customHeight="1">
      <x:c r="A104" s="10" t="str">
        <x:v>CN</x:v>
      </x:c>
      <x:c r="B104" s="10" t="str">
        <x:v>MAT</x:v>
      </x:c>
      <x:c r="C104" s="12" t="n">
        <x:v>143</x:v>
      </x:c>
      <x:c r="D104" s="34" t="n">
        <x:v>-0.27021609927181006</x:v>
      </x:c>
      <x:c r="E104" s="34" t="n">
        <x:v>-0.22612102893251962</x:v>
      </x:c>
      <x:c r="F104" s="10" t="str">
        <x:v>否</x:v>
      </x:c>
      <x:c r="G104" s="12" t="n">
        <x:v>23</x:v>
      </x:c>
      <x:c r="H104" s="34" t="n">
        <x:v>-0.3031011627243285</x:v>
      </x:c>
      <x:c r="I104" s="12" t="n">
        <x:v>120</x:v>
      </x:c>
      <x:c r="J104" s="34" t="n">
        <x:v>-0.2731588551814862</x:v>
      </x:c>
      <x:c r="K104" s="10" t="str"/>
      <x:c r="L104" s="2"/>
      <x:c r="M104" s="2"/>
      <x:c r="N104" s="2"/>
      <x:c r="O104" s="2"/>
      <x:c r="P104" s="2"/>
      <x:c r="Q104" s="2"/>
      <x:c r="R104" s="2"/>
    </x:row>
    <x:row r="105" ht="24" customHeight="1">
      <x:c r="A105" s="2" t="str">
        <x:v>SWC</x:v>
      </x:c>
      <x:c r="B105" s="2" t="str">
        <x:v>NP</x:v>
      </x:c>
      <x:c r="C105" s="11" t="n">
        <x:v>143</x:v>
      </x:c>
      <x:c r="D105" s="19" t="n">
        <x:v>0.2688992468898536</x:v>
      </x:c>
      <x:c r="E105" s="19" t="n">
        <x:v>0.3046279344571231</x:v>
      </x:c>
      <x:c r="F105" s="2" t="str">
        <x:v>否</x:v>
      </x:c>
      <x:c r="G105" s="11" t="n">
        <x:v>23</x:v>
      </x:c>
      <x:c r="H105" s="19" t="n">
        <x:v>0.4884120381344506</x:v>
      </x:c>
      <x:c r="I105" s="11" t="n">
        <x:v>120</x:v>
      </x:c>
      <x:c r="J105" s="19" t="n">
        <x:v>0.2878271021186697</x:v>
      </x:c>
      <x:c r="K105" s="2" t="str"/>
      <x:c r="L105" s="2"/>
      <x:c r="M105" s="2"/>
      <x:c r="N105" s="2"/>
      <x:c r="O105" s="2"/>
      <x:c r="P105" s="2"/>
      <x:c r="Q105" s="2"/>
      <x:c r="R105" s="2"/>
    </x:row>
    <x:row r="106" ht="24" customHeight="1">
      <x:c r="A106" s="10" t="str">
        <x:v>MAP</x:v>
      </x:c>
      <x:c r="B106" s="10" t="str">
        <x:v>DEST</x:v>
      </x:c>
      <x:c r="C106" s="12" t="n">
        <x:v>143</x:v>
      </x:c>
      <x:c r="D106" s="34" t="n">
        <x:v>-0.2653322057357961</x:v>
      </x:c>
      <x:c r="E106" s="34" t="n">
        <x:v>-0.01639851322984736</x:v>
      </x:c>
      <x:c r="F106" s="10" t="str">
        <x:v>否</x:v>
      </x:c>
      <x:c r="G106" s="12" t="n">
        <x:v>23</x:v>
      </x:c>
      <x:c r="H106" s="34" t="n">
        <x:v>-0.9321232888736847</x:v>
      </x:c>
      <x:c r="I106" s="12" t="n">
        <x:v>120</x:v>
      </x:c>
      <x:c r="J106" s="34" t="n">
        <x:v>0.2567361077095158</x:v>
      </x:c>
      <x:c r="K106" s="10" t="str"/>
      <x:c r="L106" s="2"/>
      <x:c r="M106" s="2"/>
      <x:c r="N106" s="2"/>
      <x:c r="O106" s="2"/>
      <x:c r="P106" s="2"/>
      <x:c r="Q106" s="2"/>
      <x:c r="R106" s="2"/>
    </x:row>
    <x:row r="107" ht="24" customHeight="1">
      <x:c r="A107" s="2" t="str">
        <x:v>LAT</x:v>
      </x:c>
      <x:c r="B107" s="2" t="str">
        <x:v>TN</x:v>
      </x:c>
      <x:c r="C107" s="11" t="n">
        <x:v>143</x:v>
      </x:c>
      <x:c r="D107" s="19" t="n">
        <x:v>0.2614486752490283</x:v>
      </x:c>
      <x:c r="E107" s="19" t="n">
        <x:v>0.38884648215634127</x:v>
      </x:c>
      <x:c r="F107" s="2" t="str">
        <x:v>否</x:v>
      </x:c>
      <x:c r="G107" s="11" t="n">
        <x:v>23</x:v>
      </x:c>
      <x:c r="H107" s="19" t="n">
        <x:v>0.293774974565261</x:v>
      </x:c>
      <x:c r="I107" s="11" t="n">
        <x:v>120</x:v>
      </x:c>
      <x:c r="J107" s="19" t="n">
        <x:v>0.49076254217437615</x:v>
      </x:c>
      <x:c r="K107" s="2" t="str"/>
      <x:c r="L107" s="2"/>
      <x:c r="M107" s="2"/>
      <x:c r="N107" s="2"/>
      <x:c r="O107" s="2"/>
      <x:c r="P107" s="2"/>
      <x:c r="Q107" s="2"/>
      <x:c r="R107" s="2"/>
    </x:row>
    <x:row r="108" ht="24" customHeight="1">
      <x:c r="A108" s="10" t="str">
        <x:v>pH</x:v>
      </x:c>
      <x:c r="B108" s="10" t="str">
        <x:v>CP</x:v>
      </x:c>
      <x:c r="C108" s="12" t="n">
        <x:v>143</x:v>
      </x:c>
      <x:c r="D108" s="34" t="n">
        <x:v>-0.25681067986621087</x:v>
      </x:c>
      <x:c r="E108" s="34" t="n">
        <x:v>-0.2283935835610472</x:v>
      </x:c>
      <x:c r="F108" s="10" t="str">
        <x:v>否</x:v>
      </x:c>
      <x:c r="G108" s="12" t="n">
        <x:v>23</x:v>
      </x:c>
      <x:c r="H108" s="34" t="n">
        <x:v>0.3905076517234528</x:v>
      </x:c>
      <x:c r="I108" s="12" t="n">
        <x:v>120</x:v>
      </x:c>
      <x:c r="J108" s="34" t="n">
        <x:v>-0.35878092760132696</x:v>
      </x:c>
      <x:c r="K108" s="10" t="str"/>
      <x:c r="L108" s="2"/>
      <x:c r="M108" s="2"/>
      <x:c r="N108" s="2"/>
      <x:c r="O108" s="2"/>
      <x:c r="P108" s="2"/>
      <x:c r="Q108" s="2"/>
      <x:c r="R108" s="2"/>
    </x:row>
    <x:row r="109" ht="24" customHeight="1">
      <x:c r="A109" s="2" t="str">
        <x:v>BD</x:v>
      </x:c>
      <x:c r="B109" s="2" t="str">
        <x:v>TP</x:v>
      </x:c>
      <x:c r="C109" s="11" t="n">
        <x:v>143</x:v>
      </x:c>
      <x:c r="D109" s="19" t="n">
        <x:v>0.2332942110651369</x:v>
      </x:c>
      <x:c r="E109" s="19" t="n">
        <x:v>0.2253665343526098</x:v>
      </x:c>
      <x:c r="F109" s="2" t="str">
        <x:v>否</x:v>
      </x:c>
      <x:c r="G109" s="11" t="n">
        <x:v>23</x:v>
      </x:c>
      <x:c r="H109" s="19" t="n">
        <x:v>-0.14078636974217584</x:v>
      </x:c>
      <x:c r="I109" s="11" t="n">
        <x:v>120</x:v>
      </x:c>
      <x:c r="J109" s="19" t="n">
        <x:v>0.061428121171855386</x:v>
      </x:c>
      <x:c r="K109" s="2" t="str"/>
      <x:c r="L109" s="2"/>
      <x:c r="M109" s="2"/>
      <x:c r="N109" s="2"/>
      <x:c r="O109" s="2"/>
      <x:c r="P109" s="2"/>
      <x:c r="Q109" s="2"/>
      <x:c r="R109" s="2"/>
    </x:row>
    <x:row r="110" ht="24" customHeight="1">
      <x:c r="A110" s="10" t="str">
        <x:v>POR</x:v>
      </x:c>
      <x:c r="B110" s="10" t="str">
        <x:v>TP</x:v>
      </x:c>
      <x:c r="C110" s="12" t="n">
        <x:v>143</x:v>
      </x:c>
      <x:c r="D110" s="34" t="n">
        <x:v>-0.23312640637779025</x:v>
      </x:c>
      <x:c r="E110" s="34" t="n">
        <x:v>-0.22490230137414519</x:v>
      </x:c>
      <x:c r="F110" s="10" t="str">
        <x:v>否</x:v>
      </x:c>
      <x:c r="G110" s="12" t="n">
        <x:v>23</x:v>
      </x:c>
      <x:c r="H110" s="34" t="n">
        <x:v>0.14106299211990128</x:v>
      </x:c>
      <x:c r="I110" s="12" t="n">
        <x:v>120</x:v>
      </x:c>
      <x:c r="J110" s="34" t="n">
        <x:v>-0.061265084182231894</x:v>
      </x:c>
      <x:c r="K110" s="10" t="str"/>
      <x:c r="L110" s="2"/>
      <x:c r="M110" s="2"/>
      <x:c r="N110" s="2"/>
      <x:c r="O110" s="2"/>
      <x:c r="P110" s="2"/>
      <x:c r="Q110" s="2"/>
      <x:c r="R110" s="2"/>
    </x:row>
    <x:row r="111" ht="24" customHeight="1">
      <x:c r="A111" s="2" t="str">
        <x:v>BD</x:v>
      </x:c>
      <x:c r="B111" s="2" t="str">
        <x:v>SOC</x:v>
      </x:c>
      <x:c r="C111" s="11" t="n">
        <x:v>143</x:v>
      </x:c>
      <x:c r="D111" s="19" t="n">
        <x:v>-0.22375174518613952</x:v>
      </x:c>
      <x:c r="E111" s="19" t="n">
        <x:v>-0.18576133463723665</x:v>
      </x:c>
      <x:c r="F111" s="2" t="str">
        <x:v>否</x:v>
      </x:c>
      <x:c r="G111" s="11" t="n">
        <x:v>23</x:v>
      </x:c>
      <x:c r="H111" s="19" t="n">
        <x:v>-0.0900895785908861</x:v>
      </x:c>
      <x:c r="I111" s="11" t="n">
        <x:v>120</x:v>
      </x:c>
      <x:c r="J111" s="19" t="n">
        <x:v>-0.19125761655240175</x:v>
      </x:c>
      <x:c r="K111" s="2" t="str"/>
      <x:c r="L111" s="2"/>
      <x:c r="M111" s="2"/>
      <x:c r="N111" s="2"/>
      <x:c r="O111" s="2"/>
      <x:c r="P111" s="2"/>
      <x:c r="Q111" s="2"/>
      <x:c r="R111" s="2"/>
    </x:row>
    <x:row r="112" ht="24" customHeight="1">
      <x:c r="A112" s="10" t="str">
        <x:v>POR</x:v>
      </x:c>
      <x:c r="B112" s="10" t="str">
        <x:v>SOC</x:v>
      </x:c>
      <x:c r="C112" s="12" t="n">
        <x:v>143</x:v>
      </x:c>
      <x:c r="D112" s="34" t="n">
        <x:v>0.22373249669242293</x:v>
      </x:c>
      <x:c r="E112" s="34" t="n">
        <x:v>0.1853201201261318</x:v>
      </x:c>
      <x:c r="F112" s="10" t="str">
        <x:v>否</x:v>
      </x:c>
      <x:c r="G112" s="12" t="n">
        <x:v>23</x:v>
      </x:c>
      <x:c r="H112" s="34" t="n">
        <x:v>0.0898237636341772</x:v>
      </x:c>
      <x:c r="I112" s="12" t="n">
        <x:v>120</x:v>
      </x:c>
      <x:c r="J112" s="34" t="n">
        <x:v>0.19125859523744354</x:v>
      </x:c>
      <x:c r="K112" s="10" t="str"/>
      <x:c r="L112" s="2"/>
      <x:c r="M112" s="2"/>
      <x:c r="N112" s="2"/>
      <x:c r="O112" s="2"/>
      <x:c r="P112" s="2"/>
      <x:c r="Q112" s="2"/>
      <x:c r="R112" s="2"/>
    </x:row>
    <x:row r="113" ht="24" customHeight="1">
      <x:c r="A113" s="2" t="str">
        <x:v>SWC</x:v>
      </x:c>
      <x:c r="B113" s="2" t="str">
        <x:v>CP</x:v>
      </x:c>
      <x:c r="C113" s="11" t="n">
        <x:v>143</x:v>
      </x:c>
      <x:c r="D113" s="19" t="n">
        <x:v>0.21673936948939881</x:v>
      </x:c>
      <x:c r="E113" s="19" t="n">
        <x:v>0.28492223657455795</x:v>
      </x:c>
      <x:c r="F113" s="2" t="str">
        <x:v>否</x:v>
      </x:c>
      <x:c r="G113" s="11" t="n">
        <x:v>23</x:v>
      </x:c>
      <x:c r="H113" s="19" t="n">
        <x:v>0.45349111412555565</x:v>
      </x:c>
      <x:c r="I113" s="11" t="n">
        <x:v>120</x:v>
      </x:c>
      <x:c r="J113" s="19" t="n">
        <x:v>0.22892939485107613</x:v>
      </x:c>
      <x:c r="K113" s="2" t="str"/>
      <x:c r="L113" s="2"/>
      <x:c r="M113" s="2"/>
      <x:c r="N113" s="2"/>
      <x:c r="O113" s="2"/>
      <x:c r="P113" s="2"/>
      <x:c r="Q113" s="2"/>
      <x:c r="R113" s="2"/>
    </x:row>
    <x:row r="114" ht="24" customHeight="1">
      <x:c r="A114" s="10" t="str">
        <x:v>MAT</x:v>
      </x:c>
      <x:c r="B114" s="10" t="str">
        <x:v>DEST</x:v>
      </x:c>
      <x:c r="C114" s="12" t="n">
        <x:v>143</x:v>
      </x:c>
      <x:c r="D114" s="34" t="n">
        <x:v>0.21483886820281012</x:v>
      </x:c>
      <x:c r="E114" s="34" t="n">
        <x:v>0.18554270000202325</x:v>
      </x:c>
      <x:c r="F114" s="10" t="str">
        <x:v>否</x:v>
      </x:c>
      <x:c r="G114" s="12" t="n">
        <x:v>23</x:v>
      </x:c>
      <x:c r="H114" s="34" t="n">
        <x:v>0.09145990054768635</x:v>
      </x:c>
      <x:c r="I114" s="12" t="n">
        <x:v>120</x:v>
      </x:c>
      <x:c r="J114" s="34" t="n">
        <x:v>0.18434365221863436</x:v>
      </x:c>
      <x:c r="K114" s="10" t="str"/>
      <x:c r="L114" s="2"/>
      <x:c r="M114" s="2"/>
      <x:c r="N114" s="2"/>
      <x:c r="O114" s="2"/>
      <x:c r="P114" s="2"/>
      <x:c r="Q114" s="2"/>
      <x:c r="R114" s="2"/>
    </x:row>
    <x:row r="115" ht="24" customHeight="1">
      <x:c r="A115" s="2" t="str">
        <x:v>SAL</x:v>
      </x:c>
      <x:c r="B115" s="2" t="str">
        <x:v>MAT</x:v>
      </x:c>
      <x:c r="C115" s="11" t="n">
        <x:v>143</x:v>
      </x:c>
      <x:c r="D115" s="19" t="n">
        <x:v>-0.21242014850280255</x:v>
      </x:c>
      <x:c r="E115" s="19" t="n">
        <x:v>-0.15068818474039206</x:v>
      </x:c>
      <x:c r="F115" s="2" t="str">
        <x:v>否</x:v>
      </x:c>
      <x:c r="G115" s="11" t="n">
        <x:v>23</x:v>
      </x:c>
      <x:c r="H115" s="19" t="n">
        <x:v>-0.24308208745344495</x:v>
      </x:c>
      <x:c r="I115" s="11" t="n">
        <x:v>120</x:v>
      </x:c>
      <x:c r="J115" s="19" t="n">
        <x:v>-0.3283762024471927</x:v>
      </x:c>
      <x:c r="K115" s="2" t="str"/>
      <x:c r="L115" s="2"/>
      <x:c r="M115" s="2"/>
      <x:c r="N115" s="2"/>
      <x:c r="O115" s="2"/>
      <x:c r="P115" s="2"/>
      <x:c r="Q115" s="2"/>
      <x:c r="R115" s="2"/>
    </x:row>
    <x:row r="116" ht="24" customHeight="1">
      <x:c r="A116" s="10" t="str">
        <x:v>LON</x:v>
      </x:c>
      <x:c r="B116" s="10" t="str">
        <x:v>pH</x:v>
      </x:c>
      <x:c r="C116" s="12" t="n">
        <x:v>143</x:v>
      </x:c>
      <x:c r="D116" s="34" t="n">
        <x:v>0.21058905468338251</x:v>
      </x:c>
      <x:c r="E116" s="34" t="n">
        <x:v>0.15743820466909966</x:v>
      </x:c>
      <x:c r="F116" s="10" t="str">
        <x:v>否</x:v>
      </x:c>
      <x:c r="G116" s="12" t="n">
        <x:v>23</x:v>
      </x:c>
      <x:c r="H116" s="34" t="n">
        <x:v>0.18953991794811206</x:v>
      </x:c>
      <x:c r="I116" s="12" t="n">
        <x:v>120</x:v>
      </x:c>
      <x:c r="J116" s="34" t="n">
        <x:v>-0.006742351586153662</x:v>
      </x:c>
      <x:c r="K116" s="10" t="str"/>
      <x:c r="L116" s="2"/>
      <x:c r="M116" s="2"/>
      <x:c r="N116" s="2"/>
      <x:c r="O116" s="2"/>
      <x:c r="P116" s="2"/>
      <x:c r="Q116" s="2"/>
      <x:c r="R116" s="2"/>
    </x:row>
    <x:row r="117" ht="24" customHeight="1">
      <x:c r="A117" s="2" t="str">
        <x:v>pH</x:v>
      </x:c>
      <x:c r="B117" s="2" t="str">
        <x:v>MAP</x:v>
      </x:c>
      <x:c r="C117" s="11" t="n">
        <x:v>143</x:v>
      </x:c>
      <x:c r="D117" s="19" t="n">
        <x:v>0.2104435303237679</x:v>
      </x:c>
      <x:c r="E117" s="19" t="n">
        <x:v>0.15617531811591973</x:v>
      </x:c>
      <x:c r="F117" s="2" t="str">
        <x:v>否</x:v>
      </x:c>
      <x:c r="G117" s="11" t="n">
        <x:v>23</x:v>
      </x:c>
      <x:c r="H117" s="19" t="n">
        <x:v>0.26754554703152506</x:v>
      </x:c>
      <x:c r="I117" s="11" t="n">
        <x:v>120</x:v>
      </x:c>
      <x:c r="J117" s="19" t="n">
        <x:v>-0.04563604879350823</x:v>
      </x:c>
      <x:c r="K117" s="2" t="str"/>
      <x:c r="L117" s="2"/>
      <x:c r="M117" s="2"/>
      <x:c r="N117" s="2"/>
      <x:c r="O117" s="2"/>
      <x:c r="P117" s="2"/>
      <x:c r="Q117" s="2"/>
      <x:c r="R117" s="2"/>
    </x:row>
    <x:row r="118" ht="24" customHeight="1">
      <x:c r="A118" s="10" t="str">
        <x:v>SAL</x:v>
      </x:c>
      <x:c r="B118" s="10" t="str">
        <x:v>TN</x:v>
      </x:c>
      <x:c r="C118" s="12" t="n">
        <x:v>143</x:v>
      </x:c>
      <x:c r="D118" s="34" t="n">
        <x:v>0.2073279462390054</x:v>
      </x:c>
      <x:c r="E118" s="34" t="n">
        <x:v>0.20679672623997386</x:v>
      </x:c>
      <x:c r="F118" s="10" t="str">
        <x:v>否</x:v>
      </x:c>
      <x:c r="G118" s="12" t="n">
        <x:v>23</x:v>
      </x:c>
      <x:c r="H118" s="34" t="n">
        <x:v>0.43023998088083465</x:v>
      </x:c>
      <x:c r="I118" s="12" t="n">
        <x:v>120</x:v>
      </x:c>
      <x:c r="J118" s="34" t="n">
        <x:v>0.30705993865048065</x:v>
      </x:c>
      <x:c r="K118" s="10" t="str"/>
      <x:c r="L118" s="2"/>
      <x:c r="M118" s="2"/>
      <x:c r="N118" s="2"/>
      <x:c r="O118" s="2"/>
      <x:c r="P118" s="2"/>
      <x:c r="Q118" s="2"/>
      <x:c r="R118" s="2"/>
    </x:row>
    <x:row r="119" ht="24" customHeight="1">
      <x:c r="A119" s="2" t="str">
        <x:v>LAT</x:v>
      </x:c>
      <x:c r="B119" s="2" t="str">
        <x:v>pH</x:v>
      </x:c>
      <x:c r="C119" s="11" t="n">
        <x:v>143</x:v>
      </x:c>
      <x:c r="D119" s="19" t="n">
        <x:v>0.20631318170642335</x:v>
      </x:c>
      <x:c r="E119" s="19" t="n">
        <x:v>0.15193386030416947</x:v>
      </x:c>
      <x:c r="F119" s="2" t="str">
        <x:v>否</x:v>
      </x:c>
      <x:c r="G119" s="11" t="n">
        <x:v>23</x:v>
      </x:c>
      <x:c r="H119" s="19" t="n">
        <x:v>-0.1364154727969781</x:v>
      </x:c>
      <x:c r="I119" s="11" t="n">
        <x:v>120</x:v>
      </x:c>
      <x:c r="J119" s="19" t="n">
        <x:v>-0.005493680408016733</x:v>
      </x:c>
      <x:c r="K119" s="2" t="str"/>
      <x:c r="L119" s="2"/>
      <x:c r="M119" s="2"/>
      <x:c r="N119" s="2"/>
      <x:c r="O119" s="2"/>
      <x:c r="P119" s="2"/>
      <x:c r="Q119" s="2"/>
      <x:c r="R119" s="2"/>
    </x:row>
    <x:row r="120" ht="24" customHeight="1">
      <x:c r="A120" s="10" t="str">
        <x:v>TN</x:v>
      </x:c>
      <x:c r="B120" s="10" t="str">
        <x:v>DEST</x:v>
      </x:c>
      <x:c r="C120" s="12" t="n">
        <x:v>143</x:v>
      </x:c>
      <x:c r="D120" s="34" t="n">
        <x:v>-0.17995326862209812</x:v>
      </x:c>
      <x:c r="E120" s="34" t="n">
        <x:v>-0.2372738763583834</x:v>
      </x:c>
      <x:c r="F120" s="10" t="str">
        <x:v>否</x:v>
      </x:c>
      <x:c r="G120" s="12" t="n">
        <x:v>23</x:v>
      </x:c>
      <x:c r="H120" s="34" t="n">
        <x:v>0.20146915823583603</x:v>
      </x:c>
      <x:c r="I120" s="12" t="n">
        <x:v>120</x:v>
      </x:c>
      <x:c r="J120" s="34" t="n">
        <x:v>-0.18556101063089422</x:v>
      </x:c>
      <x:c r="K120" s="10" t="str"/>
      <x:c r="L120" s="2"/>
      <x:c r="M120" s="2"/>
      <x:c r="N120" s="2"/>
      <x:c r="O120" s="2"/>
      <x:c r="P120" s="2"/>
      <x:c r="Q120" s="2"/>
      <x:c r="R120" s="2"/>
    </x:row>
    <x:row r="121" ht="24" customHeight="1">
      <x:c r="A121" s="2" t="str">
        <x:v>pH</x:v>
      </x:c>
      <x:c r="B121" s="2" t="str">
        <x:v>TP</x:v>
      </x:c>
      <x:c r="C121" s="11" t="n">
        <x:v>143</x:v>
      </x:c>
      <x:c r="D121" s="19" t="n">
        <x:v>-0.17959452697002903</x:v>
      </x:c>
      <x:c r="E121" s="19" t="n">
        <x:v>-0.15054853873581456</x:v>
      </x:c>
      <x:c r="F121" s="2" t="str">
        <x:v>否</x:v>
      </x:c>
      <x:c r="G121" s="11" t="n">
        <x:v>23</x:v>
      </x:c>
      <x:c r="H121" s="19" t="n">
        <x:v>-0.06848149390783734</x:v>
      </x:c>
      <x:c r="I121" s="11" t="n">
        <x:v>120</x:v>
      </x:c>
      <x:c r="J121" s="19" t="n">
        <x:v>-0.09316038792619433</x:v>
      </x:c>
      <x:c r="K121" s="2" t="str"/>
      <x:c r="L121" s="2"/>
      <x:c r="M121" s="2"/>
      <x:c r="N121" s="2"/>
      <x:c r="O121" s="2"/>
      <x:c r="P121" s="2"/>
      <x:c r="Q121" s="2"/>
      <x:c r="R121" s="2"/>
    </x:row>
    <x:row r="122" ht="24" customHeight="1">
      <x:c r="A122" s="10" t="str">
        <x:v>LON</x:v>
      </x:c>
      <x:c r="B122" s="10" t="str">
        <x:v>SOC</x:v>
      </x:c>
      <x:c r="C122" s="12" t="n">
        <x:v>143</x:v>
      </x:c>
      <x:c r="D122" s="34" t="n">
        <x:v>0.17221949583771715</x:v>
      </x:c>
      <x:c r="E122" s="34" t="n">
        <x:v>0.35198545585869523</x:v>
      </x:c>
      <x:c r="F122" s="10" t="str">
        <x:v>否</x:v>
      </x:c>
      <x:c r="G122" s="12" t="n">
        <x:v>23</x:v>
      </x:c>
      <x:c r="H122" s="34" t="n">
        <x:v>-0.12142113236539431</x:v>
      </x:c>
      <x:c r="I122" s="12" t="n">
        <x:v>120</x:v>
      </x:c>
      <x:c r="J122" s="34" t="n">
        <x:v>0.44516049706189187</x:v>
      </x:c>
      <x:c r="K122" s="10" t="str"/>
      <x:c r="L122" s="2"/>
      <x:c r="M122" s="2"/>
      <x:c r="N122" s="2"/>
      <x:c r="O122" s="2"/>
      <x:c r="P122" s="2"/>
      <x:c r="Q122" s="2"/>
      <x:c r="R122" s="2"/>
    </x:row>
    <x:row r="123" ht="24" customHeight="1">
      <x:c r="A123" s="2" t="str">
        <x:v>SWC</x:v>
      </x:c>
      <x:c r="B123" s="2" t="str">
        <x:v>TP</x:v>
      </x:c>
      <x:c r="C123" s="11" t="n">
        <x:v>143</x:v>
      </x:c>
      <x:c r="D123" s="19" t="n">
        <x:v>-0.16866631952752817</x:v>
      </x:c>
      <x:c r="E123" s="19" t="n">
        <x:v>-0.14826488065924687</x:v>
      </x:c>
      <x:c r="F123" s="2" t="str">
        <x:v>否</x:v>
      </x:c>
      <x:c r="G123" s="11" t="n">
        <x:v>23</x:v>
      </x:c>
      <x:c r="H123" s="19" t="n">
        <x:v>-0.025638520439987874</x:v>
      </x:c>
      <x:c r="I123" s="11" t="n">
        <x:v>120</x:v>
      </x:c>
      <x:c r="J123" s="19" t="n">
        <x:v>0.028117652393495045</x:v>
      </x:c>
      <x:c r="K123" s="2" t="str"/>
      <x:c r="L123" s="2"/>
      <x:c r="M123" s="2"/>
      <x:c r="N123" s="2"/>
      <x:c r="O123" s="2"/>
      <x:c r="P123" s="2"/>
      <x:c r="Q123" s="2"/>
      <x:c r="R123" s="2"/>
    </x:row>
    <x:row r="124" ht="24" customHeight="1">
      <x:c r="A124" s="10" t="str">
        <x:v>SOC</x:v>
      </x:c>
      <x:c r="B124" s="10" t="str">
        <x:v>MAP</x:v>
      </x:c>
      <x:c r="C124" s="12" t="n">
        <x:v>143</x:v>
      </x:c>
      <x:c r="D124" s="34" t="n">
        <x:v>0.16799247635513537</x:v>
      </x:c>
      <x:c r="E124" s="34" t="n">
        <x:v>0.28430326077438856</x:v>
      </x:c>
      <x:c r="F124" s="10" t="str">
        <x:v>否</x:v>
      </x:c>
      <x:c r="G124" s="12" t="n">
        <x:v>23</x:v>
      </x:c>
      <x:c r="H124" s="34" t="n">
        <x:v>-0.2226156545205851</x:v>
      </x:c>
      <x:c r="I124" s="12" t="n">
        <x:v>120</x:v>
      </x:c>
      <x:c r="J124" s="34" t="n">
        <x:v>0.2500512511873759</x:v>
      </x:c>
      <x:c r="K124" s="10" t="str"/>
      <x:c r="L124" s="2"/>
      <x:c r="M124" s="2"/>
      <x:c r="N124" s="2"/>
      <x:c r="O124" s="2"/>
      <x:c r="P124" s="2"/>
      <x:c r="Q124" s="2"/>
      <x:c r="R124" s="2"/>
    </x:row>
    <x:row r="125" ht="24" customHeight="1">
      <x:c r="A125" s="2" t="str">
        <x:v>pH</x:v>
      </x:c>
      <x:c r="B125" s="2" t="str">
        <x:v>DEST</x:v>
      </x:c>
      <x:c r="C125" s="11" t="n">
        <x:v>143</x:v>
      </x:c>
      <x:c r="D125" s="19" t="n">
        <x:v>-0.16288955262177723</x:v>
      </x:c>
      <x:c r="E125" s="19" t="n">
        <x:v>-0.16616675671386033</x:v>
      </x:c>
      <x:c r="F125" s="2" t="str">
        <x:v>否</x:v>
      </x:c>
      <x:c r="G125" s="11" t="n">
        <x:v>23</x:v>
      </x:c>
      <x:c r="H125" s="19" t="n">
        <x:v>-0.17231892283144515</x:v>
      </x:c>
      <x:c r="I125" s="11" t="n">
        <x:v>120</x:v>
      </x:c>
      <x:c r="J125" s="19" t="n">
        <x:v>-0.10490064339772484</x:v>
      </x:c>
      <x:c r="K125" s="2" t="str"/>
      <x:c r="L125" s="2"/>
      <x:c r="M125" s="2"/>
      <x:c r="N125" s="2"/>
      <x:c r="O125" s="2"/>
      <x:c r="P125" s="2"/>
      <x:c r="Q125" s="2"/>
      <x:c r="R125" s="2"/>
    </x:row>
    <x:row r="126" ht="24" customHeight="1">
      <x:c r="A126" s="10" t="str">
        <x:v>POR</x:v>
      </x:c>
      <x:c r="B126" s="10" t="str">
        <x:v>NP</x:v>
      </x:c>
      <x:c r="C126" s="12" t="n">
        <x:v>143</x:v>
      </x:c>
      <x:c r="D126" s="34" t="n">
        <x:v>0.161472025403245</x:v>
      </x:c>
      <x:c r="E126" s="34" t="n">
        <x:v>0.2568267776843769</x:v>
      </x:c>
      <x:c r="F126" s="10" t="str">
        <x:v>否</x:v>
      </x:c>
      <x:c r="G126" s="12" t="n">
        <x:v>23</x:v>
      </x:c>
      <x:c r="H126" s="34" t="n">
        <x:v>0.6393882278318045</x:v>
      </x:c>
      <x:c r="I126" s="12" t="n">
        <x:v>120</x:v>
      </x:c>
      <x:c r="J126" s="34" t="n">
        <x:v>0.16133228160011925</x:v>
      </x:c>
      <x:c r="K126" s="10" t="str"/>
      <x:c r="L126" s="2"/>
      <x:c r="M126" s="2"/>
      <x:c r="N126" s="2"/>
      <x:c r="O126" s="2"/>
      <x:c r="P126" s="2"/>
      <x:c r="Q126" s="2"/>
      <x:c r="R126" s="2"/>
    </x:row>
    <x:row r="127" ht="24" customHeight="1">
      <x:c r="A127" s="2" t="str">
        <x:v>BD</x:v>
      </x:c>
      <x:c r="B127" s="2" t="str">
        <x:v>NP</x:v>
      </x:c>
      <x:c r="C127" s="11" t="n">
        <x:v>143</x:v>
      </x:c>
      <x:c r="D127" s="19" t="n">
        <x:v>-0.16137765118081793</x:v>
      </x:c>
      <x:c r="E127" s="19" t="n">
        <x:v>-0.25665114273407624</x:v>
      </x:c>
      <x:c r="F127" s="2" t="str">
        <x:v>否</x:v>
      </x:c>
      <x:c r="G127" s="11" t="n">
        <x:v>23</x:v>
      </x:c>
      <x:c r="H127" s="19" t="n">
        <x:v>-0.6394967061192592</x:v>
      </x:c>
      <x:c r="I127" s="11" t="n">
        <x:v>120</x:v>
      </x:c>
      <x:c r="J127" s="19" t="n">
        <x:v>-0.16121160151025998</x:v>
      </x:c>
      <x:c r="K127" s="2" t="str"/>
      <x:c r="L127" s="2"/>
      <x:c r="M127" s="2"/>
      <x:c r="N127" s="2"/>
      <x:c r="O127" s="2"/>
      <x:c r="P127" s="2"/>
      <x:c r="Q127" s="2"/>
      <x:c r="R127" s="2"/>
    </x:row>
    <x:row r="128" ht="24" customHeight="1">
      <x:c r="A128" s="10" t="str">
        <x:v>SWC</x:v>
      </x:c>
      <x:c r="B128" s="10" t="str">
        <x:v>SAL</x:v>
      </x:c>
      <x:c r="C128" s="12" t="n">
        <x:v>143</x:v>
      </x:c>
      <x:c r="D128" s="34" t="n">
        <x:v>-0.15846815843946802</x:v>
      </x:c>
      <x:c r="E128" s="34" t="n">
        <x:v>-0.15604888543793355</x:v>
      </x:c>
      <x:c r="F128" s="10" t="str">
        <x:v>否</x:v>
      </x:c>
      <x:c r="G128" s="12" t="n">
        <x:v>23</x:v>
      </x:c>
      <x:c r="H128" s="34" t="n">
        <x:v>0.49325207502432344</x:v>
      </x:c>
      <x:c r="I128" s="12" t="n">
        <x:v>120</x:v>
      </x:c>
      <x:c r="J128" s="34" t="n">
        <x:v>-0.046053596571046046</x:v>
      </x:c>
      <x:c r="K128" s="10" t="str"/>
      <x:c r="L128" s="2"/>
      <x:c r="M128" s="2"/>
      <x:c r="N128" s="2"/>
      <x:c r="O128" s="2"/>
      <x:c r="P128" s="2"/>
      <x:c r="Q128" s="2"/>
      <x:c r="R128" s="2"/>
    </x:row>
    <x:row r="129" ht="24" customHeight="1">
      <x:c r="A129" s="2" t="str">
        <x:v>LON</x:v>
      </x:c>
      <x:c r="B129" s="2" t="str">
        <x:v>TN</x:v>
      </x:c>
      <x:c r="C129" s="11" t="n">
        <x:v>143</x:v>
      </x:c>
      <x:c r="D129" s="19" t="n">
        <x:v>0.1515891200238276</x:v>
      </x:c>
      <x:c r="E129" s="19" t="n">
        <x:v>-0.14808431005614103</x:v>
      </x:c>
      <x:c r="F129" s="2" t="str">
        <x:v>否</x:v>
      </x:c>
      <x:c r="G129" s="11" t="n">
        <x:v>23</x:v>
      </x:c>
      <x:c r="H129" s="19" t="n">
        <x:v>-0.1821403633125155</x:v>
      </x:c>
      <x:c r="I129" s="11" t="n">
        <x:v>120</x:v>
      </x:c>
      <x:c r="J129" s="19" t="n">
        <x:v>-0.46165636923649583</x:v>
      </x:c>
      <x:c r="K129" s="2" t="str"/>
      <x:c r="L129" s="2"/>
      <x:c r="M129" s="2"/>
      <x:c r="N129" s="2"/>
      <x:c r="O129" s="2"/>
      <x:c r="P129" s="2"/>
      <x:c r="Q129" s="2"/>
      <x:c r="R129" s="2"/>
    </x:row>
    <x:row r="130" ht="24" customHeight="1">
      <x:c r="A130" s="10" t="str">
        <x:v>SAL</x:v>
      </x:c>
      <x:c r="B130" s="10" t="str">
        <x:v>pH</x:v>
      </x:c>
      <x:c r="C130" s="12" t="n">
        <x:v>143</x:v>
      </x:c>
      <x:c r="D130" s="34" t="n">
        <x:v>-0.149585729871251</x:v>
      </x:c>
      <x:c r="E130" s="34" t="n">
        <x:v>-0.14138043390005975</x:v>
      </x:c>
      <x:c r="F130" s="10" t="str">
        <x:v>否</x:v>
      </x:c>
      <x:c r="G130" s="12" t="n">
        <x:v>23</x:v>
      </x:c>
      <x:c r="H130" s="34" t="n">
        <x:v>0.1988033304280455</x:v>
      </x:c>
      <x:c r="I130" s="12" t="n">
        <x:v>120</x:v>
      </x:c>
      <x:c r="J130" s="34" t="n">
        <x:v>-0.11434164789380341</x:v>
      </x:c>
      <x:c r="K130" s="10" t="str"/>
      <x:c r="L130" s="2"/>
      <x:c r="M130" s="2"/>
      <x:c r="N130" s="2"/>
      <x:c r="O130" s="2"/>
      <x:c r="P130" s="2"/>
      <x:c r="Q130" s="2"/>
      <x:c r="R130" s="2"/>
    </x:row>
    <x:row r="131" ht="24" customHeight="1">
      <x:c r="A131" s="2" t="str">
        <x:v>CP</x:v>
      </x:c>
      <x:c r="B131" s="2" t="str">
        <x:v>SOC</x:v>
      </x:c>
      <x:c r="C131" s="11" t="n">
        <x:v>143</x:v>
      </x:c>
      <x:c r="D131" s="19" t="n">
        <x:v>-0.1483537609992687</x:v>
      </x:c>
      <x:c r="E131" s="19" t="n">
        <x:v>-0.19350211914193913</x:v>
      </x:c>
      <x:c r="F131" s="2" t="str">
        <x:v>否</x:v>
      </x:c>
      <x:c r="G131" s="11" t="n">
        <x:v>23</x:v>
      </x:c>
      <x:c r="H131" s="19" t="n">
        <x:v>0.282760803792819</x:v>
      </x:c>
      <x:c r="I131" s="11" t="n">
        <x:v>120</x:v>
      </x:c>
      <x:c r="J131" s="19" t="n">
        <x:v>-0.1848326318301097</x:v>
      </x:c>
      <x:c r="K131" s="2" t="str"/>
      <x:c r="L131" s="2"/>
      <x:c r="M131" s="2"/>
      <x:c r="N131" s="2"/>
      <x:c r="O131" s="2"/>
      <x:c r="P131" s="2"/>
      <x:c r="Q131" s="2"/>
      <x:c r="R131" s="2"/>
    </x:row>
    <x:row r="132" ht="24" customHeight="1">
      <x:c r="A132" s="10" t="str">
        <x:v>TN</x:v>
      </x:c>
      <x:c r="B132" s="10" t="str">
        <x:v>MAP</x:v>
      </x:c>
      <x:c r="C132" s="12" t="n">
        <x:v>143</x:v>
      </x:c>
      <x:c r="D132" s="34" t="n">
        <x:v>0.14717346441366286</x:v>
      </x:c>
      <x:c r="E132" s="34" t="n">
        <x:v>-0.07232739429699102</x:v>
      </x:c>
      <x:c r="F132" s="10" t="str">
        <x:v>否</x:v>
      </x:c>
      <x:c r="G132" s="12" t="n">
        <x:v>23</x:v>
      </x:c>
      <x:c r="H132" s="34" t="n">
        <x:v>-0.18543762781828782</x:v>
      </x:c>
      <x:c r="I132" s="12" t="n">
        <x:v>120</x:v>
      </x:c>
      <x:c r="J132" s="34" t="n">
        <x:v>-0.23840084728178915</x:v>
      </x:c>
      <x:c r="K132" s="10" t="str"/>
      <x:c r="L132" s="2"/>
      <x:c r="M132" s="2"/>
      <x:c r="N132" s="2"/>
      <x:c r="O132" s="2"/>
      <x:c r="P132" s="2"/>
      <x:c r="Q132" s="2"/>
      <x:c r="R132" s="2"/>
    </x:row>
    <x:row r="133" ht="24" customHeight="1">
      <x:c r="A133" s="2" t="str">
        <x:v>SWC</x:v>
      </x:c>
      <x:c r="B133" s="2" t="str">
        <x:v>MAT</x:v>
      </x:c>
      <x:c r="C133" s="11" t="n">
        <x:v>143</x:v>
      </x:c>
      <x:c r="D133" s="19" t="n">
        <x:v>0.14305939240862478</x:v>
      </x:c>
      <x:c r="E133" s="19" t="n">
        <x:v>0.11575772307247889</x:v>
      </x:c>
      <x:c r="F133" s="2" t="str">
        <x:v>否</x:v>
      </x:c>
      <x:c r="G133" s="11" t="n">
        <x:v>23</x:v>
      </x:c>
      <x:c r="H133" s="19" t="n">
        <x:v>-0.36945005683275856</x:v>
      </x:c>
      <x:c r="I133" s="11" t="n">
        <x:v>120</x:v>
      </x:c>
      <x:c r="J133" s="19" t="n">
        <x:v>0.22820340835821282</x:v>
      </x:c>
      <x:c r="K133" s="2" t="str"/>
      <x:c r="L133" s="2"/>
      <x:c r="M133" s="2"/>
      <x:c r="N133" s="2"/>
      <x:c r="O133" s="2"/>
      <x:c r="P133" s="2"/>
      <x:c r="Q133" s="2"/>
      <x:c r="R133" s="2"/>
    </x:row>
    <x:row r="134" ht="24" customHeight="1">
      <x:c r="A134" s="10" t="str">
        <x:v>SWC</x:v>
      </x:c>
      <x:c r="B134" s="10" t="str">
        <x:v>pH</x:v>
      </x:c>
      <x:c r="C134" s="12" t="n">
        <x:v>143</x:v>
      </x:c>
      <x:c r="D134" s="34" t="n">
        <x:v>-0.14110958156921263</x:v>
      </x:c>
      <x:c r="E134" s="34" t="n">
        <x:v>-0.1428009995942741</x:v>
      </x:c>
      <x:c r="F134" s="10" t="str">
        <x:v>否</x:v>
      </x:c>
      <x:c r="G134" s="12" t="n">
        <x:v>23</x:v>
      </x:c>
      <x:c r="H134" s="34" t="n">
        <x:v>0.18994597253720186</x:v>
      </x:c>
      <x:c r="I134" s="12" t="n">
        <x:v>120</x:v>
      </x:c>
      <x:c r="J134" s="34" t="n">
        <x:v>-0.31001998002791964</x:v>
      </x:c>
      <x:c r="K134" s="10" t="str"/>
      <x:c r="L134" s="2"/>
      <x:c r="M134" s="2"/>
      <x:c r="N134" s="2"/>
      <x:c r="O134" s="2"/>
      <x:c r="P134" s="2"/>
      <x:c r="Q134" s="2"/>
      <x:c r="R134" s="2"/>
    </x:row>
    <x:row r="135" ht="24" customHeight="1">
      <x:c r="A135" s="2" t="str">
        <x:v>NP</x:v>
      </x:c>
      <x:c r="B135" s="2" t="str">
        <x:v>SOC</x:v>
      </x:c>
      <x:c r="C135" s="11" t="n">
        <x:v>143</x:v>
      </x:c>
      <x:c r="D135" s="19" t="n">
        <x:v>-0.1406970253066484</x:v>
      </x:c>
      <x:c r="E135" s="19" t="n">
        <x:v>-0.22668000560375381</x:v>
      </x:c>
      <x:c r="F135" s="2" t="str">
        <x:v>否</x:v>
      </x:c>
      <x:c r="G135" s="11" t="n">
        <x:v>23</x:v>
      </x:c>
      <x:c r="H135" s="19" t="n">
        <x:v>0.3115840722110505</x:v>
      </x:c>
      <x:c r="I135" s="11" t="n">
        <x:v>120</x:v>
      </x:c>
      <x:c r="J135" s="19" t="n">
        <x:v>-0.1803419689875993</x:v>
      </x:c>
      <x:c r="K135" s="2" t="str"/>
      <x:c r="L135" s="2"/>
      <x:c r="M135" s="2"/>
      <x:c r="N135" s="2"/>
      <x:c r="O135" s="2"/>
      <x:c r="P135" s="2"/>
      <x:c r="Q135" s="2"/>
      <x:c r="R135" s="2"/>
    </x:row>
    <x:row r="136" ht="24" customHeight="1">
      <x:c r="A136" s="10" t="str">
        <x:v>pH</x:v>
      </x:c>
      <x:c r="B136" s="10" t="str">
        <x:v>CN</x:v>
      </x:c>
      <x:c r="C136" s="12" t="n">
        <x:v>143</x:v>
      </x:c>
      <x:c r="D136" s="34" t="n">
        <x:v>-0.12741617327112856</x:v>
      </x:c>
      <x:c r="E136" s="34" t="n">
        <x:v>-0.13259558744648786</x:v>
      </x:c>
      <x:c r="F136" s="10" t="str">
        <x:v>否</x:v>
      </x:c>
      <x:c r="G136" s="12" t="n">
        <x:v>23</x:v>
      </x:c>
      <x:c r="H136" s="34" t="n">
        <x:v>0.4556693570130386</x:v>
      </x:c>
      <x:c r="I136" s="12" t="n">
        <x:v>120</x:v>
      </x:c>
      <x:c r="J136" s="34" t="n">
        <x:v>-0.20359292283175617</x:v>
      </x:c>
      <x:c r="K136" s="10" t="str"/>
      <x:c r="L136" s="2"/>
      <x:c r="M136" s="2"/>
      <x:c r="N136" s="2"/>
      <x:c r="O136" s="2"/>
      <x:c r="P136" s="2"/>
      <x:c r="Q136" s="2"/>
      <x:c r="R136" s="2"/>
    </x:row>
    <x:row r="137" ht="24" customHeight="1">
      <x:c r="A137" s="2" t="str">
        <x:v>pH</x:v>
      </x:c>
      <x:c r="B137" s="2" t="str">
        <x:v>TN</x:v>
      </x:c>
      <x:c r="C137" s="11" t="n">
        <x:v>143</x:v>
      </x:c>
      <x:c r="D137" s="19" t="n">
        <x:v>0.11975998756753656</x:v>
      </x:c>
      <x:c r="E137" s="19" t="n">
        <x:v>0.049030121878516936</x:v>
      </x:c>
      <x:c r="F137" s="2" t="str">
        <x:v>否</x:v>
      </x:c>
      <x:c r="G137" s="11" t="n">
        <x:v>23</x:v>
      </x:c>
      <x:c r="H137" s="19" t="n">
        <x:v>0.46918322612618024</x:v>
      </x:c>
      <x:c r="I137" s="11" t="n">
        <x:v>120</x:v>
      </x:c>
      <x:c r="J137" s="19" t="n">
        <x:v>-0.028025320704440762</x:v>
      </x:c>
      <x:c r="K137" s="2" t="str"/>
      <x:c r="L137" s="2"/>
      <x:c r="M137" s="2"/>
      <x:c r="N137" s="2"/>
      <x:c r="O137" s="2"/>
      <x:c r="P137" s="2"/>
      <x:c r="Q137" s="2"/>
      <x:c r="R137" s="2"/>
    </x:row>
    <x:row r="138" ht="24" customHeight="1">
      <x:c r="A138" s="10" t="str">
        <x:v>MAT</x:v>
      </x:c>
      <x:c r="B138" s="10" t="str">
        <x:v>DCOAST</x:v>
      </x:c>
      <x:c r="C138" s="12" t="n">
        <x:v>143</x:v>
      </x:c>
      <x:c r="D138" s="34" t="n">
        <x:v>0.11844546851273739</x:v>
      </x:c>
      <x:c r="E138" s="34" t="n">
        <x:v>0.0229514487402299</x:v>
      </x:c>
      <x:c r="F138" s="10" t="str">
        <x:v>否</x:v>
      </x:c>
      <x:c r="G138" s="12" t="n">
        <x:v>23</x:v>
      </x:c>
      <x:c r="H138" s="34" t="n">
        <x:v>-0.004709295921313353</x:v>
      </x:c>
      <x:c r="I138" s="12" t="n">
        <x:v>120</x:v>
      </x:c>
      <x:c r="J138" s="34" t="n">
        <x:v>0.07732554109006087</x:v>
      </x:c>
      <x:c r="K138" s="10" t="str"/>
      <x:c r="L138" s="2"/>
      <x:c r="M138" s="2"/>
      <x:c r="N138" s="2"/>
      <x:c r="O138" s="2"/>
      <x:c r="P138" s="2"/>
      <x:c r="Q138" s="2"/>
      <x:c r="R138" s="2"/>
    </x:row>
    <x:row r="139" ht="24" customHeight="1">
      <x:c r="A139" s="2" t="str">
        <x:v>TN</x:v>
      </x:c>
      <x:c r="B139" s="2" t="str">
        <x:v>DCOAST</x:v>
      </x:c>
      <x:c r="C139" s="11" t="n">
        <x:v>143</x:v>
      </x:c>
      <x:c r="D139" s="19" t="n">
        <x:v>-0.11837937427558669</x:v>
      </x:c>
      <x:c r="E139" s="19" t="n">
        <x:v>-0.17613431169769195</x:v>
      </x:c>
      <x:c r="F139" s="2" t="str">
        <x:v>否</x:v>
      </x:c>
      <x:c r="G139" s="11" t="n">
        <x:v>23</x:v>
      </x:c>
      <x:c r="H139" s="19" t="n">
        <x:v>0.3321759274974024</x:v>
      </x:c>
      <x:c r="I139" s="11" t="n">
        <x:v>120</x:v>
      </x:c>
      <x:c r="J139" s="19" t="n">
        <x:v>-0.09318020645748219</x:v>
      </x:c>
      <x:c r="K139" s="2" t="str"/>
      <x:c r="L139" s="2"/>
      <x:c r="M139" s="2"/>
      <x:c r="N139" s="2"/>
      <x:c r="O139" s="2"/>
      <x:c r="P139" s="2"/>
      <x:c r="Q139" s="2"/>
      <x:c r="R139" s="2"/>
    </x:row>
    <x:row r="140" ht="24" customHeight="1">
      <x:c r="A140" s="10" t="str">
        <x:v>SWC</x:v>
      </x:c>
      <x:c r="B140" s="10" t="str">
        <x:v>SOC</x:v>
      </x:c>
      <x:c r="C140" s="12" t="n">
        <x:v>143</x:v>
      </x:c>
      <x:c r="D140" s="34" t="n">
        <x:v>0.11133461043273365</x:v>
      </x:c>
      <x:c r="E140" s="34" t="n">
        <x:v>0.09454102235792376</x:v>
      </x:c>
      <x:c r="F140" s="10" t="str">
        <x:v>否</x:v>
      </x:c>
      <x:c r="G140" s="12" t="n">
        <x:v>23</x:v>
      </x:c>
      <x:c r="H140" s="34" t="n">
        <x:v>0.2380226454512025</x:v>
      </x:c>
      <x:c r="I140" s="12" t="n">
        <x:v>120</x:v>
      </x:c>
      <x:c r="J140" s="34" t="n">
        <x:v>0.048972132595186055</x:v>
      </x:c>
      <x:c r="K140" s="10" t="str"/>
      <x:c r="L140" s="2"/>
      <x:c r="M140" s="2"/>
      <x:c r="N140" s="2"/>
      <x:c r="O140" s="2"/>
      <x:c r="P140" s="2"/>
      <x:c r="Q140" s="2"/>
      <x:c r="R140" s="2"/>
    </x:row>
    <x:row r="141" ht="24" customHeight="1">
      <x:c r="A141" s="2" t="str">
        <x:v>POR</x:v>
      </x:c>
      <x:c r="B141" s="2" t="str">
        <x:v>pH</x:v>
      </x:c>
      <x:c r="C141" s="11" t="n">
        <x:v>143</x:v>
      </x:c>
      <x:c r="D141" s="19" t="n">
        <x:v>-0.10480830554367004</x:v>
      </x:c>
      <x:c r="E141" s="19" t="n">
        <x:v>-0.05044761683999439</x:v>
      </x:c>
      <x:c r="F141" s="2" t="str">
        <x:v>否</x:v>
      </x:c>
      <x:c r="G141" s="11" t="n">
        <x:v>23</x:v>
      </x:c>
      <x:c r="H141" s="19" t="n">
        <x:v>0.38887165383042543</x:v>
      </x:c>
      <x:c r="I141" s="11" t="n">
        <x:v>120</x:v>
      </x:c>
      <x:c r="J141" s="19" t="n">
        <x:v>-0.29535109414220745</x:v>
      </x:c>
      <x:c r="K141" s="2" t="str"/>
      <x:c r="L141" s="2"/>
      <x:c r="M141" s="2"/>
      <x:c r="N141" s="2"/>
      <x:c r="O141" s="2"/>
      <x:c r="P141" s="2"/>
      <x:c r="Q141" s="2"/>
      <x:c r="R141" s="2"/>
    </x:row>
    <x:row r="142" ht="24" customHeight="1">
      <x:c r="A142" s="10" t="str">
        <x:v>BD</x:v>
      </x:c>
      <x:c r="B142" s="10" t="str">
        <x:v>pH</x:v>
      </x:c>
      <x:c r="C142" s="12" t="n">
        <x:v>143</x:v>
      </x:c>
      <x:c r="D142" s="34" t="n">
        <x:v>0.10458244685394887</x:v>
      </x:c>
      <x:c r="E142" s="34" t="n">
        <x:v>0.05046665748796358</x:v>
      </x:c>
      <x:c r="F142" s="10" t="str">
        <x:v>否</x:v>
      </x:c>
      <x:c r="G142" s="12" t="n">
        <x:v>23</x:v>
      </x:c>
      <x:c r="H142" s="34" t="n">
        <x:v>-0.3890341536223056</x:v>
      </x:c>
      <x:c r="I142" s="12" t="n">
        <x:v>120</x:v>
      </x:c>
      <x:c r="J142" s="34" t="n">
        <x:v>0.2951333753303823</x:v>
      </x:c>
      <x:c r="K142" s="10" t="str"/>
      <x:c r="L142" s="2"/>
      <x:c r="M142" s="2"/>
      <x:c r="N142" s="2"/>
      <x:c r="O142" s="2"/>
      <x:c r="P142" s="2"/>
      <x:c r="Q142" s="2"/>
      <x:c r="R142" s="2"/>
    </x:row>
    <x:row r="143" ht="24" customHeight="1">
      <x:c r="A143" s="2" t="str">
        <x:v>POR</x:v>
      </x:c>
      <x:c r="B143" s="2" t="str">
        <x:v>CP</x:v>
      </x:c>
      <x:c r="C143" s="11" t="n">
        <x:v>143</x:v>
      </x:c>
      <x:c r="D143" s="19" t="n">
        <x:v>0.10258301416887304</x:v>
      </x:c>
      <x:c r="E143" s="19" t="n">
        <x:v>0.22586592523102067</x:v>
      </x:c>
      <x:c r="F143" s="2" t="str">
        <x:v>否</x:v>
      </x:c>
      <x:c r="G143" s="11" t="n">
        <x:v>23</x:v>
      </x:c>
      <x:c r="H143" s="19" t="n">
        <x:v>0.6081758978381321</x:v>
      </x:c>
      <x:c r="I143" s="11" t="n">
        <x:v>120</x:v>
      </x:c>
      <x:c r="J143" s="19" t="n">
        <x:v>0.09384445219668984</x:v>
      </x:c>
      <x:c r="K143" s="2" t="str"/>
      <x:c r="L143" s="2"/>
      <x:c r="M143" s="2"/>
      <x:c r="N143" s="2"/>
      <x:c r="O143" s="2"/>
      <x:c r="P143" s="2"/>
      <x:c r="Q143" s="2"/>
      <x:c r="R143" s="2"/>
    </x:row>
    <x:row r="144" ht="24" customHeight="1">
      <x:c r="A144" s="10" t="str">
        <x:v>BD</x:v>
      </x:c>
      <x:c r="B144" s="10" t="str">
        <x:v>CP</x:v>
      </x:c>
      <x:c r="C144" s="12" t="n">
        <x:v>143</x:v>
      </x:c>
      <x:c r="D144" s="34" t="n">
        <x:v>-0.1025325773205858</x:v>
      </x:c>
      <x:c r="E144" s="34" t="n">
        <x:v>-0.22589515008017103</x:v>
      </x:c>
      <x:c r="F144" s="10" t="str">
        <x:v>否</x:v>
      </x:c>
      <x:c r="G144" s="12" t="n">
        <x:v>23</x:v>
      </x:c>
      <x:c r="H144" s="34" t="n">
        <x:v>-0.6082613022625487</x:v>
      </x:c>
      <x:c r="I144" s="12" t="n">
        <x:v>120</x:v>
      </x:c>
      <x:c r="J144" s="34" t="n">
        <x:v>-0.09377455783127552</x:v>
      </x:c>
      <x:c r="K144" s="10" t="str"/>
      <x:c r="L144" s="2"/>
      <x:c r="M144" s="2"/>
      <x:c r="N144" s="2"/>
      <x:c r="O144" s="2"/>
      <x:c r="P144" s="2"/>
      <x:c r="Q144" s="2"/>
      <x:c r="R144" s="2"/>
    </x:row>
    <x:row r="145" ht="24" customHeight="1">
      <x:c r="A145" s="2" t="str">
        <x:v>CN</x:v>
      </x:c>
      <x:c r="B145" s="2" t="str">
        <x:v>SOC</x:v>
      </x:c>
      <x:c r="C145" s="11" t="n">
        <x:v>143</x:v>
      </x:c>
      <x:c r="D145" s="19" t="n">
        <x:v>-0.08694627687217871</x:v>
      </x:c>
      <x:c r="E145" s="19" t="n">
        <x:v>-0.08289472874386812</x:v>
      </x:c>
      <x:c r="F145" s="2" t="str">
        <x:v>否</x:v>
      </x:c>
      <x:c r="G145" s="11" t="n">
        <x:v>23</x:v>
      </x:c>
      <x:c r="H145" s="19" t="n">
        <x:v>0.053371584303012115</x:v>
      </x:c>
      <x:c r="I145" s="11" t="n">
        <x:v>120</x:v>
      </x:c>
      <x:c r="J145" s="19" t="n">
        <x:v>-0.1018077183991539</x:v>
      </x:c>
      <x:c r="K145" s="2" t="str"/>
      <x:c r="L145" s="2"/>
      <x:c r="M145" s="2"/>
      <x:c r="N145" s="2"/>
      <x:c r="O145" s="2"/>
      <x:c r="P145" s="2"/>
      <x:c r="Q145" s="2"/>
      <x:c r="R145" s="2"/>
    </x:row>
    <x:row r="146" ht="24" customHeight="1">
      <x:c r="A146" s="10" t="str">
        <x:v>LON</x:v>
      </x:c>
      <x:c r="B146" s="10" t="str">
        <x:v>MAT</x:v>
      </x:c>
      <x:c r="C146" s="12" t="n">
        <x:v>143</x:v>
      </x:c>
      <x:c r="D146" s="34" t="n">
        <x:v>-0.08685757742559967</x:v>
      </x:c>
      <x:c r="E146" s="34" t="n">
        <x:v>0.5571067687812643</x:v>
      </x:c>
      <x:c r="F146" s="10" t="str">
        <x:v>否</x:v>
      </x:c>
      <x:c r="G146" s="12" t="n">
        <x:v>23</x:v>
      </x:c>
      <x:c r="H146" s="34" t="n">
        <x:v>-0.12581010976071394</x:v>
      </x:c>
      <x:c r="I146" s="12" t="n">
        <x:v>120</x:v>
      </x:c>
      <x:c r="J146" s="34" t="n">
        <x:v>0.8910854518946206</x:v>
      </x:c>
      <x:c r="K146" s="10" t="str"/>
      <x:c r="L146" s="2"/>
      <x:c r="M146" s="2"/>
      <x:c r="N146" s="2"/>
      <x:c r="O146" s="2"/>
      <x:c r="P146" s="2"/>
      <x:c r="Q146" s="2"/>
      <x:c r="R146" s="2"/>
    </x:row>
    <x:row r="147" ht="24" customHeight="1">
      <x:c r="A147" s="2" t="str">
        <x:v>SWC</x:v>
      </x:c>
      <x:c r="B147" s="2" t="str">
        <x:v>CN</x:v>
      </x:c>
      <x:c r="C147" s="11" t="n">
        <x:v>143</x:v>
      </x:c>
      <x:c r="D147" s="19" t="n">
        <x:v>0.07894731099267902</x:v>
      </x:c>
      <x:c r="E147" s="19" t="n">
        <x:v>0.12245224596561893</x:v>
      </x:c>
      <x:c r="F147" s="2" t="str">
        <x:v>否</x:v>
      </x:c>
      <x:c r="G147" s="11" t="n">
        <x:v>23</x:v>
      </x:c>
      <x:c r="H147" s="19" t="n">
        <x:v>0.20356066919930144</x:v>
      </x:c>
      <x:c r="I147" s="11" t="n">
        <x:v>120</x:v>
      </x:c>
      <x:c r="J147" s="19" t="n">
        <x:v>0.06612118425394681</x:v>
      </x:c>
      <x:c r="K147" s="2" t="str"/>
      <x:c r="L147" s="2"/>
      <x:c r="M147" s="2"/>
      <x:c r="N147" s="2"/>
      <x:c r="O147" s="2"/>
      <x:c r="P147" s="2"/>
      <x:c r="Q147" s="2"/>
      <x:c r="R147" s="2"/>
    </x:row>
    <x:row r="148" ht="24" customHeight="1">
      <x:c r="A148" s="10" t="str">
        <x:v>CP</x:v>
      </x:c>
      <x:c r="B148" s="10" t="str">
        <x:v>DCOAST</x:v>
      </x:c>
      <x:c r="C148" s="12" t="n">
        <x:v>143</x:v>
      </x:c>
      <x:c r="D148" s="34" t="n">
        <x:v>-0.07853896229663573</x:v>
      </x:c>
      <x:c r="E148" s="34" t="n">
        <x:v>-0.13444521164237233</x:v>
      </x:c>
      <x:c r="F148" s="10" t="str">
        <x:v>否</x:v>
      </x:c>
      <x:c r="G148" s="12" t="n">
        <x:v>23</x:v>
      </x:c>
      <x:c r="H148" s="34" t="n">
        <x:v>0.1715442726205716</x:v>
      </x:c>
      <x:c r="I148" s="12" t="n">
        <x:v>120</x:v>
      </x:c>
      <x:c r="J148" s="34" t="n">
        <x:v>-0.09964506844373142</x:v>
      </x:c>
      <x:c r="K148" s="10" t="str"/>
      <x:c r="L148" s="2"/>
      <x:c r="M148" s="2"/>
      <x:c r="N148" s="2"/>
      <x:c r="O148" s="2"/>
      <x:c r="P148" s="2"/>
      <x:c r="Q148" s="2"/>
      <x:c r="R148" s="2"/>
    </x:row>
    <x:row r="149" ht="24" customHeight="1">
      <x:c r="A149" s="2" t="str">
        <x:v>LAT</x:v>
      </x:c>
      <x:c r="B149" s="2" t="str">
        <x:v>CN</x:v>
      </x:c>
      <x:c r="C149" s="11" t="n">
        <x:v>143</x:v>
      </x:c>
      <x:c r="D149" s="19" t="n">
        <x:v>0.07321253952799636</x:v>
      </x:c>
      <x:c r="E149" s="19" t="n">
        <x:v>0.23965354854652682</x:v>
      </x:c>
      <x:c r="F149" s="2" t="str">
        <x:v>否</x:v>
      </x:c>
      <x:c r="G149" s="11" t="n">
        <x:v>23</x:v>
      </x:c>
      <x:c r="H149" s="19" t="n">
        <x:v>-0.10862592673378864</x:v>
      </x:c>
      <x:c r="I149" s="11" t="n">
        <x:v>120</x:v>
      </x:c>
      <x:c r="J149" s="19" t="n">
        <x:v>0.22744022492663482</x:v>
      </x:c>
      <x:c r="K149" s="2" t="str"/>
      <x:c r="L149" s="2"/>
      <x:c r="M149" s="2"/>
      <x:c r="N149" s="2"/>
      <x:c r="O149" s="2"/>
      <x:c r="P149" s="2"/>
      <x:c r="Q149" s="2"/>
      <x:c r="R149" s="2"/>
    </x:row>
    <x:row r="150" ht="24" customHeight="1">
      <x:c r="A150" s="10" t="str">
        <x:v>CN</x:v>
      </x:c>
      <x:c r="B150" s="10" t="str">
        <x:v>TN</x:v>
      </x:c>
      <x:c r="C150" s="12" t="n">
        <x:v>143</x:v>
      </x:c>
      <x:c r="D150" s="34" t="n">
        <x:v>0.07282672540515807</x:v>
      </x:c>
      <x:c r="E150" s="34" t="n">
        <x:v>0.05874941775993089</x:v>
      </x:c>
      <x:c r="F150" s="10" t="str">
        <x:v>否</x:v>
      </x:c>
      <x:c r="G150" s="12" t="n">
        <x:v>23</x:v>
      </x:c>
      <x:c r="H150" s="34" t="n">
        <x:v>0.2622254791063911</x:v>
      </x:c>
      <x:c r="I150" s="12" t="n">
        <x:v>120</x:v>
      </x:c>
      <x:c r="J150" s="34" t="n">
        <x:v>0.05091726349712158</x:v>
      </x:c>
      <x:c r="K150" s="10" t="str"/>
      <x:c r="L150" s="2"/>
      <x:c r="M150" s="2"/>
      <x:c r="N150" s="2"/>
      <x:c r="O150" s="2"/>
      <x:c r="P150" s="2"/>
      <x:c r="Q150" s="2"/>
      <x:c r="R150" s="2"/>
    </x:row>
    <x:row r="151" ht="24" customHeight="1">
      <x:c r="A151" s="2" t="str">
        <x:v>TP</x:v>
      </x:c>
      <x:c r="B151" s="2" t="str">
        <x:v>MAT</x:v>
      </x:c>
      <x:c r="C151" s="11" t="n">
        <x:v>143</x:v>
      </x:c>
      <x:c r="D151" s="19" t="n">
        <x:v>-0.07281489372310512</x:v>
      </x:c>
      <x:c r="E151" s="19" t="n">
        <x:v>-0.034735328974204005</x:v>
      </x:c>
      <x:c r="F151" s="2" t="str">
        <x:v>否</x:v>
      </x:c>
      <x:c r="G151" s="11" t="n">
        <x:v>23</x:v>
      </x:c>
      <x:c r="H151" s="19" t="n">
        <x:v>0.22624369900163738</x:v>
      </x:c>
      <x:c r="I151" s="11" t="n">
        <x:v>120</x:v>
      </x:c>
      <x:c r="J151" s="19" t="n">
        <x:v>-0.2026261284851962</x:v>
      </x:c>
      <x:c r="K151" s="2" t="str"/>
      <x:c r="L151" s="2"/>
      <x:c r="M151" s="2"/>
      <x:c r="N151" s="2"/>
      <x:c r="O151" s="2"/>
      <x:c r="P151" s="2"/>
      <x:c r="Q151" s="2"/>
      <x:c r="R151" s="2"/>
    </x:row>
    <x:row r="152" ht="24" customHeight="1">
      <x:c r="A152" s="10" t="str">
        <x:v>SWC</x:v>
      </x:c>
      <x:c r="B152" s="10" t="str">
        <x:v>DEST</x:v>
      </x:c>
      <x:c r="C152" s="12" t="n">
        <x:v>143</x:v>
      </x:c>
      <x:c r="D152" s="34" t="n">
        <x:v>-0.07080721545974507</x:v>
      </x:c>
      <x:c r="E152" s="34" t="n">
        <x:v>-0.09979808923470895</x:v>
      </x:c>
      <x:c r="F152" s="10" t="str">
        <x:v>否</x:v>
      </x:c>
      <x:c r="G152" s="12" t="n">
        <x:v>23</x:v>
      </x:c>
      <x:c r="H152" s="34" t="n">
        <x:v>0.45875345997565753</x:v>
      </x:c>
      <x:c r="I152" s="12" t="n">
        <x:v>120</x:v>
      </x:c>
      <x:c r="J152" s="34" t="n">
        <x:v>0.014857788827287695</x:v>
      </x:c>
      <x:c r="K152" s="10" t="str"/>
      <x:c r="L152" s="2"/>
      <x:c r="M152" s="2"/>
      <x:c r="N152" s="2"/>
      <x:c r="O152" s="2"/>
      <x:c r="P152" s="2"/>
      <x:c r="Q152" s="2"/>
      <x:c r="R152" s="2"/>
    </x:row>
    <x:row r="153" ht="24" customHeight="1">
      <x:c r="A153" s="2" t="str">
        <x:v>pH</x:v>
      </x:c>
      <x:c r="B153" s="2" t="str">
        <x:v>SOC</x:v>
      </x:c>
      <x:c r="C153" s="11" t="n">
        <x:v>143</x:v>
      </x:c>
      <x:c r="D153" s="19" t="n">
        <x:v>0.06632820244447979</x:v>
      </x:c>
      <x:c r="E153" s="19" t="n">
        <x:v>0.040874169415342956</x:v>
      </x:c>
      <x:c r="F153" s="2" t="str">
        <x:v>否</x:v>
      </x:c>
      <x:c r="G153" s="11" t="n">
        <x:v>23</x:v>
      </x:c>
      <x:c r="H153" s="19" t="n">
        <x:v>-0.20645769790007135</x:v>
      </x:c>
      <x:c r="I153" s="11" t="n">
        <x:v>120</x:v>
      </x:c>
      <x:c r="J153" s="19" t="n">
        <x:v>0.07817845184601518</x:v>
      </x:c>
      <x:c r="K153" s="2" t="str"/>
      <x:c r="L153" s="2"/>
      <x:c r="M153" s="2"/>
      <x:c r="N153" s="2"/>
      <x:c r="O153" s="2"/>
      <x:c r="P153" s="2"/>
      <x:c r="Q153" s="2"/>
      <x:c r="R153" s="2"/>
    </x:row>
    <x:row r="154" ht="24" customHeight="1">
      <x:c r="A154" s="10" t="str">
        <x:v>TP</x:v>
      </x:c>
      <x:c r="B154" s="10" t="str">
        <x:v>DEST</x:v>
      </x:c>
      <x:c r="C154" s="12" t="n">
        <x:v>143</x:v>
      </x:c>
      <x:c r="D154" s="34" t="n">
        <x:v>0.06403065970083816</x:v>
      </x:c>
      <x:c r="E154" s="34" t="n">
        <x:v>0.0011696050428444795</x:v>
      </x:c>
      <x:c r="F154" s="10" t="str">
        <x:v>否</x:v>
      </x:c>
      <x:c r="G154" s="12" t="n">
        <x:v>23</x:v>
      </x:c>
      <x:c r="H154" s="34" t="n">
        <x:v>0.13208819784274406</x:v>
      </x:c>
      <x:c r="I154" s="12" t="n">
        <x:v>120</x:v>
      </x:c>
      <x:c r="J154" s="34" t="n">
        <x:v>-0.13162979645150003</x:v>
      </x:c>
      <x:c r="K154" s="10" t="str"/>
      <x:c r="L154" s="2"/>
      <x:c r="M154" s="2"/>
      <x:c r="N154" s="2"/>
      <x:c r="O154" s="2"/>
      <x:c r="P154" s="2"/>
      <x:c r="Q154" s="2"/>
      <x:c r="R154" s="2"/>
    </x:row>
    <x:row r="155" ht="24" customHeight="1">
      <x:c r="A155" s="2" t="str">
        <x:v>NP</x:v>
      </x:c>
      <x:c r="B155" s="2" t="str">
        <x:v>MAP</x:v>
      </x:c>
      <x:c r="C155" s="11" t="n">
        <x:v>143</x:v>
      </x:c>
      <x:c r="D155" s="19" t="n">
        <x:v>-0.06385362385988518</x:v>
      </x:c>
      <x:c r="E155" s="19" t="n">
        <x:v>-0.1041936278031651</x:v>
      </x:c>
      <x:c r="F155" s="2" t="str">
        <x:v>否</x:v>
      </x:c>
      <x:c r="G155" s="11" t="n">
        <x:v>23</x:v>
      </x:c>
      <x:c r="H155" s="19" t="n">
        <x:v>-0.42186994341225403</x:v>
      </x:c>
      <x:c r="I155" s="11" t="n">
        <x:v>120</x:v>
      </x:c>
      <x:c r="J155" s="19" t="n">
        <x:v>-0.1778578749790054</x:v>
      </x:c>
      <x:c r="K155" s="2" t="str"/>
      <x:c r="L155" s="2"/>
      <x:c r="M155" s="2"/>
      <x:c r="N155" s="2"/>
      <x:c r="O155" s="2"/>
      <x:c r="P155" s="2"/>
      <x:c r="Q155" s="2"/>
      <x:c r="R155" s="2"/>
    </x:row>
    <x:row r="156" ht="24" customHeight="1">
      <x:c r="A156" s="10" t="str">
        <x:v>CP</x:v>
      </x:c>
      <x:c r="B156" s="10" t="str">
        <x:v>MAP</x:v>
      </x:c>
      <x:c r="C156" s="12" t="n">
        <x:v>143</x:v>
      </x:c>
      <x:c r="D156" s="34" t="n">
        <x:v>-0.06294313435782567</x:v>
      </x:c>
      <x:c r="E156" s="34" t="n">
        <x:v>-0.13283713976990574</x:v>
      </x:c>
      <x:c r="F156" s="10" t="str">
        <x:v>否</x:v>
      </x:c>
      <x:c r="G156" s="12" t="n">
        <x:v>23</x:v>
      </x:c>
      <x:c r="H156" s="34" t="n">
        <x:v>-0.34203227853727325</x:v>
      </x:c>
      <x:c r="I156" s="12" t="n">
        <x:v>120</x:v>
      </x:c>
      <x:c r="J156" s="34" t="n">
        <x:v>-0.20896948116420763</x:v>
      </x:c>
      <x:c r="K156" s="10" t="str"/>
      <x:c r="L156" s="2"/>
      <x:c r="M156" s="2"/>
      <x:c r="N156" s="2"/>
      <x:c r="O156" s="2"/>
      <x:c r="P156" s="2"/>
      <x:c r="Q156" s="2"/>
      <x:c r="R156" s="2"/>
    </x:row>
    <x:row r="157" ht="24" customHeight="1">
      <x:c r="A157" s="2" t="str">
        <x:v>NP</x:v>
      </x:c>
      <x:c r="B157" s="2" t="str">
        <x:v>DEST</x:v>
      </x:c>
      <x:c r="C157" s="11" t="n">
        <x:v>143</x:v>
      </x:c>
      <x:c r="D157" s="19" t="n">
        <x:v>0.0628484387787588</x:v>
      </x:c>
      <x:c r="E157" s="19" t="n">
        <x:v>-0.0744265744789483</x:v>
      </x:c>
      <x:c r="F157" s="2" t="str">
        <x:v>否</x:v>
      </x:c>
      <x:c r="G157" s="11" t="n">
        <x:v>23</x:v>
      </x:c>
      <x:c r="H157" s="19" t="n">
        <x:v>0.32948984268931936</x:v>
      </x:c>
      <x:c r="I157" s="11" t="n">
        <x:v>120</x:v>
      </x:c>
      <x:c r="J157" s="19" t="n">
        <x:v>0.036407059797622016</x:v>
      </x:c>
      <x:c r="K157" s="2" t="str"/>
      <x:c r="L157" s="2"/>
      <x:c r="M157" s="2"/>
      <x:c r="N157" s="2"/>
      <x:c r="O157" s="2"/>
      <x:c r="P157" s="2"/>
      <x:c r="Q157" s="2"/>
      <x:c r="R157" s="2"/>
    </x:row>
    <x:row r="158" ht="24" customHeight="1">
      <x:c r="A158" s="10" t="str">
        <x:v>CP</x:v>
      </x:c>
      <x:c r="B158" s="10" t="str">
        <x:v>TN</x:v>
      </x:c>
      <x:c r="C158" s="12" t="n">
        <x:v>143</x:v>
      </x:c>
      <x:c r="D158" s="34" t="n">
        <x:v>0.06247158200088394</x:v>
      </x:c>
      <x:c r="E158" s="34" t="n">
        <x:v>0.10481723876490993</x:v>
      </x:c>
      <x:c r="F158" s="10" t="str">
        <x:v>否</x:v>
      </x:c>
      <x:c r="G158" s="12" t="n">
        <x:v>23</x:v>
      </x:c>
      <x:c r="H158" s="34" t="n">
        <x:v>0.2821072704538917</x:v>
      </x:c>
      <x:c r="I158" s="12" t="n">
        <x:v>120</x:v>
      </x:c>
      <x:c r="J158" s="34" t="n">
        <x:v>0.036434657698595954</x:v>
      </x:c>
      <x:c r="K158" s="10" t="str"/>
      <x:c r="L158" s="2"/>
      <x:c r="M158" s="2"/>
      <x:c r="N158" s="2"/>
      <x:c r="O158" s="2"/>
      <x:c r="P158" s="2"/>
      <x:c r="Q158" s="2"/>
      <x:c r="R158" s="2"/>
    </x:row>
    <x:row r="159" ht="24" customHeight="1">
      <x:c r="A159" s="2" t="str">
        <x:v>SWC</x:v>
      </x:c>
      <x:c r="B159" s="2" t="str">
        <x:v>TN</x:v>
      </x:c>
      <x:c r="C159" s="11" t="n">
        <x:v>143</x:v>
      </x:c>
      <x:c r="D159" s="19" t="n">
        <x:v>0.06175949013147335</x:v>
      </x:c>
      <x:c r="E159" s="19" t="n">
        <x:v>0.07898322334942053</x:v>
      </x:c>
      <x:c r="F159" s="2" t="str">
        <x:v>否</x:v>
      </x:c>
      <x:c r="G159" s="11" t="n">
        <x:v>23</x:v>
      </x:c>
      <x:c r="H159" s="19" t="n">
        <x:v>0.5212949423864354</x:v>
      </x:c>
      <x:c r="I159" s="11" t="n">
        <x:v>120</x:v>
      </x:c>
      <x:c r="J159" s="19" t="n">
        <x:v>-0.09002861401533761</x:v>
      </x:c>
      <x:c r="K159" s="2" t="str"/>
      <x:c r="L159" s="2"/>
      <x:c r="M159" s="2"/>
      <x:c r="N159" s="2"/>
      <x:c r="O159" s="2"/>
      <x:c r="P159" s="2"/>
      <x:c r="Q159" s="2"/>
      <x:c r="R159" s="2"/>
    </x:row>
    <x:row r="160" ht="24" customHeight="1">
      <x:c r="A160" s="10" t="str">
        <x:v>BD</x:v>
      </x:c>
      <x:c r="B160" s="10" t="str">
        <x:v>TN</x:v>
      </x:c>
      <x:c r="C160" s="12" t="n">
        <x:v>143</x:v>
      </x:c>
      <x:c r="D160" s="34" t="n">
        <x:v>0.05692116421695677</x:v>
      </x:c>
      <x:c r="E160" s="34" t="n">
        <x:v>-0.03896908697967215</x:v>
      </x:c>
      <x:c r="F160" s="10" t="str">
        <x:v>否</x:v>
      </x:c>
      <x:c r="G160" s="12" t="n">
        <x:v>23</x:v>
      </x:c>
      <x:c r="H160" s="34" t="n">
        <x:v>-0.4346949134220439</x:v>
      </x:c>
      <x:c r="I160" s="12" t="n">
        <x:v>120</x:v>
      </x:c>
      <x:c r="J160" s="34" t="n">
        <x:v>0.23096181458275017</x:v>
      </x:c>
      <x:c r="K160" s="10" t="str"/>
      <x:c r="L160" s="2"/>
      <x:c r="M160" s="2"/>
      <x:c r="N160" s="2"/>
      <x:c r="O160" s="2"/>
      <x:c r="P160" s="2"/>
      <x:c r="Q160" s="2"/>
      <x:c r="R160" s="2"/>
    </x:row>
    <x:row r="161" ht="24" customHeight="1">
      <x:c r="A161" s="2" t="str">
        <x:v>NP</x:v>
      </x:c>
      <x:c r="B161" s="2" t="str">
        <x:v>TN</x:v>
      </x:c>
      <x:c r="C161" s="11" t="n">
        <x:v>143</x:v>
      </x:c>
      <x:c r="D161" s="19" t="n">
        <x:v>0.056758336730970686</x:v>
      </x:c>
      <x:c r="E161" s="19" t="n">
        <x:v>0.10527125839615231</x:v>
      </x:c>
      <x:c r="F161" s="2" t="str">
        <x:v>否</x:v>
      </x:c>
      <x:c r="G161" s="11" t="n">
        <x:v>23</x:v>
      </x:c>
      <x:c r="H161" s="19" t="n">
        <x:v>0.2527872688125608</x:v>
      </x:c>
      <x:c r="I161" s="11" t="n">
        <x:v>120</x:v>
      </x:c>
      <x:c r="J161" s="19" t="n">
        <x:v>0.033475280085923466</x:v>
      </x:c>
      <x:c r="K161" s="2" t="str"/>
      <x:c r="L161" s="2"/>
      <x:c r="M161" s="2"/>
      <x:c r="N161" s="2"/>
      <x:c r="O161" s="2"/>
      <x:c r="P161" s="2"/>
      <x:c r="Q161" s="2"/>
      <x:c r="R161" s="2"/>
    </x:row>
    <x:row r="162" ht="24" customHeight="1">
      <x:c r="A162" s="10" t="str">
        <x:v>POR</x:v>
      </x:c>
      <x:c r="B162" s="10" t="str">
        <x:v>TN</x:v>
      </x:c>
      <x:c r="C162" s="12" t="n">
        <x:v>143</x:v>
      </x:c>
      <x:c r="D162" s="34" t="n">
        <x:v>-0.05669787108754244</x:v>
      </x:c>
      <x:c r="E162" s="34" t="n">
        <x:v>0.03962732422299818</x:v>
      </x:c>
      <x:c r="F162" s="10" t="str">
        <x:v>否</x:v>
      </x:c>
      <x:c r="G162" s="12" t="n">
        <x:v>23</x:v>
      </x:c>
      <x:c r="H162" s="34" t="n">
        <x:v>0.43480245155122227</x:v>
      </x:c>
      <x:c r="I162" s="12" t="n">
        <x:v>120</x:v>
      </x:c>
      <x:c r="J162" s="34" t="n">
        <x:v>-0.23062968531645145</x:v>
      </x:c>
      <x:c r="K162" s="10" t="str"/>
      <x:c r="L162" s="2"/>
      <x:c r="M162" s="2"/>
      <x:c r="N162" s="2"/>
      <x:c r="O162" s="2"/>
      <x:c r="P162" s="2"/>
      <x:c r="Q162" s="2"/>
      <x:c r="R162" s="2"/>
    </x:row>
    <x:row r="163" ht="24" customHeight="1">
      <x:c r="A163" s="2" t="str">
        <x:v>LON</x:v>
      </x:c>
      <x:c r="B163" s="2" t="str">
        <x:v>NP</x:v>
      </x:c>
      <x:c r="C163" s="11" t="n">
        <x:v>143</x:v>
      </x:c>
      <x:c r="D163" s="19" t="n">
        <x:v>-0.05473347796460793</x:v>
      </x:c>
      <x:c r="E163" s="19" t="n">
        <x:v>-0.1958578944710012</x:v>
      </x:c>
      <x:c r="F163" s="2" t="str">
        <x:v>否</x:v>
      </x:c>
      <x:c r="G163" s="11" t="n">
        <x:v>23</x:v>
      </x:c>
      <x:c r="H163" s="19" t="n">
        <x:v>-0.31874954520248633</x:v>
      </x:c>
      <x:c r="I163" s="11" t="n">
        <x:v>120</x:v>
      </x:c>
      <x:c r="J163" s="19" t="n">
        <x:v>-0.28434298813745784</x:v>
      </x:c>
      <x:c r="K163" s="2" t="str"/>
      <x:c r="L163" s="2"/>
      <x:c r="M163" s="2"/>
      <x:c r="N163" s="2"/>
      <x:c r="O163" s="2"/>
      <x:c r="P163" s="2"/>
      <x:c r="Q163" s="2"/>
      <x:c r="R163" s="2"/>
    </x:row>
    <x:row r="164" ht="24" customHeight="1">
      <x:c r="A164" s="10" t="str">
        <x:v>LON</x:v>
      </x:c>
      <x:c r="B164" s="10" t="str">
        <x:v>CP</x:v>
      </x:c>
      <x:c r="C164" s="12" t="n">
        <x:v>143</x:v>
      </x:c>
      <x:c r="D164" s="34" t="n">
        <x:v>-0.05256738867214781</x:v>
      </x:c>
      <x:c r="E164" s="34" t="n">
        <x:v>-0.2074450567208821</x:v>
      </x:c>
      <x:c r="F164" s="10" t="str">
        <x:v>否</x:v>
      </x:c>
      <x:c r="G164" s="12" t="n">
        <x:v>23</x:v>
      </x:c>
      <x:c r="H164" s="34" t="n">
        <x:v>-0.23452102139824668</x:v>
      </x:c>
      <x:c r="I164" s="12" t="n">
        <x:v>120</x:v>
      </x:c>
      <x:c r="J164" s="34" t="n">
        <x:v>-0.30357705138178526</x:v>
      </x:c>
      <x:c r="K164" s="10" t="str"/>
      <x:c r="L164" s="2"/>
      <x:c r="M164" s="2"/>
      <x:c r="N164" s="2"/>
      <x:c r="O164" s="2"/>
      <x:c r="P164" s="2"/>
      <x:c r="Q164" s="2"/>
      <x:c r="R164" s="2"/>
    </x:row>
    <x:row r="165" ht="24" customHeight="1">
      <x:c r="A165" s="2" t="str">
        <x:v>POR</x:v>
      </x:c>
      <x:c r="B165" s="2" t="str">
        <x:v>DEST</x:v>
      </x:c>
      <x:c r="C165" s="11" t="n">
        <x:v>143</x:v>
      </x:c>
      <x:c r="D165" s="19" t="n">
        <x:v>-0.0519188667244324</x:v>
      </x:c>
      <x:c r="E165" s="19" t="n">
        <x:v>-0.08100701665676895</x:v>
      </x:c>
      <x:c r="F165" s="2" t="str">
        <x:v>否</x:v>
      </x:c>
      <x:c r="G165" s="11" t="n">
        <x:v>23</x:v>
      </x:c>
      <x:c r="H165" s="19" t="n">
        <x:v>0.1850024433242633</x:v>
      </x:c>
      <x:c r="I165" s="11" t="n">
        <x:v>120</x:v>
      </x:c>
      <x:c r="J165" s="19" t="n">
        <x:v>0.07120053062398285</x:v>
      </x:c>
      <x:c r="K165" s="2" t="str"/>
      <x:c r="L165" s="2"/>
      <x:c r="M165" s="2"/>
      <x:c r="N165" s="2"/>
      <x:c r="O165" s="2"/>
      <x:c r="P165" s="2"/>
      <x:c r="Q165" s="2"/>
      <x:c r="R165" s="2"/>
    </x:row>
    <x:row r="166" ht="24" customHeight="1">
      <x:c r="A166" s="10" t="str">
        <x:v>BD</x:v>
      </x:c>
      <x:c r="B166" s="10" t="str">
        <x:v>DEST</x:v>
      </x:c>
      <x:c r="C166" s="12" t="n">
        <x:v>143</x:v>
      </x:c>
      <x:c r="D166" s="34" t="n">
        <x:v>0.05184380315750046</x:v>
      </x:c>
      <x:c r="E166" s="34" t="n">
        <x:v>0.08105512636427938</x:v>
      </x:c>
      <x:c r="F166" s="10" t="str">
        <x:v>否</x:v>
      </x:c>
      <x:c r="G166" s="12" t="n">
        <x:v>23</x:v>
      </x:c>
      <x:c r="H166" s="34" t="n">
        <x:v>-0.18503865645881748</x:v>
      </x:c>
      <x:c r="I166" s="12" t="n">
        <x:v>120</x:v>
      </x:c>
      <x:c r="J166" s="34" t="n">
        <x:v>-0.07131882853319217</x:v>
      </x:c>
      <x:c r="K166" s="10" t="str"/>
      <x:c r="L166" s="2"/>
      <x:c r="M166" s="2"/>
      <x:c r="N166" s="2"/>
      <x:c r="O166" s="2"/>
      <x:c r="P166" s="2"/>
      <x:c r="Q166" s="2"/>
      <x:c r="R166" s="2"/>
    </x:row>
    <x:row r="167" ht="24" customHeight="1">
      <x:c r="A167" s="2" t="str">
        <x:v>SOC</x:v>
      </x:c>
      <x:c r="B167" s="2" t="str">
        <x:v>DCOAST</x:v>
      </x:c>
      <x:c r="C167" s="11" t="n">
        <x:v>143</x:v>
      </x:c>
      <x:c r="D167" s="19" t="n">
        <x:v>0.049253080646476835</x:v>
      </x:c>
      <x:c r="E167" s="19" t="n">
        <x:v>0.15072720706523524</x:v>
      </x:c>
      <x:c r="F167" s="2" t="str">
        <x:v>否</x:v>
      </x:c>
      <x:c r="G167" s="11" t="n">
        <x:v>23</x:v>
      </x:c>
      <x:c r="H167" s="19" t="n">
        <x:v>0.1580668636851407</x:v>
      </x:c>
      <x:c r="I167" s="11" t="n">
        <x:v>120</x:v>
      </x:c>
      <x:c r="J167" s="19" t="n">
        <x:v>0.09763203812325733</x:v>
      </x:c>
      <x:c r="K167" s="2" t="str"/>
      <x:c r="L167" s="2"/>
      <x:c r="M167" s="2"/>
      <x:c r="N167" s="2"/>
      <x:c r="O167" s="2"/>
      <x:c r="P167" s="2"/>
      <x:c r="Q167" s="2"/>
      <x:c r="R167" s="2"/>
    </x:row>
    <x:row r="168" ht="24" customHeight="1">
      <x:c r="A168" s="10" t="str">
        <x:v>MAT</x:v>
      </x:c>
      <x:c r="B168" s="10" t="str">
        <x:v>MAP</x:v>
      </x:c>
      <x:c r="C168" s="12" t="n">
        <x:v>143</x:v>
      </x:c>
      <x:c r="D168" s="34" t="n">
        <x:v>-0.048673388863746586</x:v>
      </x:c>
      <x:c r="E168" s="34" t="n">
        <x:v>0.38771793835563256</x:v>
      </x:c>
      <x:c r="F168" s="10" t="str">
        <x:v>否</x:v>
      </x:c>
      <x:c r="G168" s="12" t="n">
        <x:v>23</x:v>
      </x:c>
      <x:c r="H168" s="34" t="n">
        <x:v>-0.025365682212596937</x:v>
      </x:c>
      <x:c r="I168" s="12" t="n">
        <x:v>120</x:v>
      </x:c>
      <x:c r="J168" s="34" t="n">
        <x:v>0.7656735347096814</x:v>
      </x:c>
      <x:c r="K168" s="10" t="str"/>
      <x:c r="L168" s="2"/>
      <x:c r="M168" s="2"/>
      <x:c r="N168" s="2"/>
      <x:c r="O168" s="2"/>
      <x:c r="P168" s="2"/>
      <x:c r="Q168" s="2"/>
      <x:c r="R168" s="2"/>
    </x:row>
    <x:row r="169" ht="24" customHeight="1">
      <x:c r="A169" s="2" t="str">
        <x:v>CP</x:v>
      </x:c>
      <x:c r="B169" s="2" t="str">
        <x:v>DEST</x:v>
      </x:c>
      <x:c r="C169" s="11" t="n">
        <x:v>143</x:v>
      </x:c>
      <x:c r="D169" s="19" t="n">
        <x:v>0.04834829447050596</x:v>
      </x:c>
      <x:c r="E169" s="19" t="n">
        <x:v>-0.06059996696378539</x:v>
      </x:c>
      <x:c r="F169" s="2" t="str">
        <x:v>否</x:v>
      </x:c>
      <x:c r="G169" s="11" t="n">
        <x:v>23</x:v>
      </x:c>
      <x:c r="H169" s="19" t="n">
        <x:v>0.24806782980511083</x:v>
      </x:c>
      <x:c r="I169" s="11" t="n">
        <x:v>120</x:v>
      </x:c>
      <x:c r="J169" s="19" t="n">
        <x:v>0.027587982897300214</x:v>
      </x:c>
      <x:c r="K169" s="2" t="str"/>
      <x:c r="L169" s="2"/>
      <x:c r="M169" s="2"/>
      <x:c r="N169" s="2"/>
      <x:c r="O169" s="2"/>
      <x:c r="P169" s="2"/>
      <x:c r="Q169" s="2"/>
      <x:c r="R169" s="2"/>
    </x:row>
    <x:row r="170" ht="24" customHeight="1">
      <x:c r="A170" s="10" t="str">
        <x:v>LAT</x:v>
      </x:c>
      <x:c r="B170" s="10" t="str">
        <x:v>SOC</x:v>
      </x:c>
      <x:c r="C170" s="12" t="n">
        <x:v>143</x:v>
      </x:c>
      <x:c r="D170" s="34" t="n">
        <x:v>0.04722547134940196</x:v>
      </x:c>
      <x:c r="E170" s="34" t="n">
        <x:v>-0.18785908926753997</x:v>
      </x:c>
      <x:c r="F170" s="10" t="str">
        <x:v>否</x:v>
      </x:c>
      <x:c r="G170" s="12" t="n">
        <x:v>23</x:v>
      </x:c>
      <x:c r="H170" s="34" t="n">
        <x:v>0.1396373402817542</x:v>
      </x:c>
      <x:c r="I170" s="12" t="n">
        <x:v>120</x:v>
      </x:c>
      <x:c r="J170" s="34" t="n">
        <x:v>-0.4896083935380869</x:v>
      </x:c>
      <x:c r="K170" s="10" t="str"/>
      <x:c r="L170" s="2"/>
      <x:c r="M170" s="2"/>
      <x:c r="N170" s="2"/>
      <x:c r="O170" s="2"/>
      <x:c r="P170" s="2"/>
      <x:c r="Q170" s="2"/>
      <x:c r="R170" s="2"/>
    </x:row>
    <x:row r="171" ht="24" customHeight="1">
      <x:c r="A171" s="2" t="str">
        <x:v>TP</x:v>
      </x:c>
      <x:c r="B171" s="2" t="str">
        <x:v>DCOAST</x:v>
      </x:c>
      <x:c r="C171" s="11" t="n">
        <x:v>143</x:v>
      </x:c>
      <x:c r="D171" s="19" t="n">
        <x:v>0.04274025536721759</x:v>
      </x:c>
      <x:c r="E171" s="19" t="n">
        <x:v>0.04678420171377917</x:v>
      </x:c>
      <x:c r="F171" s="2" t="str">
        <x:v>否</x:v>
      </x:c>
      <x:c r="G171" s="11" t="n">
        <x:v>23</x:v>
      </x:c>
      <x:c r="H171" s="19" t="n">
        <x:v>0.16835187785147307</x:v>
      </x:c>
      <x:c r="I171" s="11" t="n">
        <x:v>120</x:v>
      </x:c>
      <x:c r="J171" s="19" t="n">
        <x:v>-0.15393290394280265</x:v>
      </x:c>
      <x:c r="K171" s="2" t="str"/>
      <x:c r="L171" s="2"/>
      <x:c r="M171" s="2"/>
      <x:c r="N171" s="2"/>
      <x:c r="O171" s="2"/>
      <x:c r="P171" s="2"/>
      <x:c r="Q171" s="2"/>
      <x:c r="R171" s="2"/>
    </x:row>
    <x:row r="172" ht="24" customHeight="1">
      <x:c r="A172" s="10" t="str">
        <x:v>pH</x:v>
      </x:c>
      <x:c r="B172" s="10" t="str">
        <x:v>MAT</x:v>
      </x:c>
      <x:c r="C172" s="12" t="n">
        <x:v>143</x:v>
      </x:c>
      <x:c r="D172" s="34" t="n">
        <x:v>-0.04191882367642784</x:v>
      </x:c>
      <x:c r="E172" s="34" t="n">
        <x:v>-0.07213654587820509</x:v>
      </x:c>
      <x:c r="F172" s="10" t="str">
        <x:v>否</x:v>
      </x:c>
      <x:c r="G172" s="12" t="n">
        <x:v>23</x:v>
      </x:c>
      <x:c r="H172" s="34" t="n">
        <x:v>-0.42674263490334113</x:v>
      </x:c>
      <x:c r="I172" s="12" t="n">
        <x:v>120</x:v>
      </x:c>
      <x:c r="J172" s="34" t="n">
        <x:v>-0.007178265290834473</x:v>
      </x:c>
      <x:c r="K172" s="10" t="str"/>
      <x:c r="L172" s="2"/>
      <x:c r="M172" s="2"/>
      <x:c r="N172" s="2"/>
      <x:c r="O172" s="2"/>
      <x:c r="P172" s="2"/>
      <x:c r="Q172" s="2"/>
      <x:c r="R172" s="2"/>
    </x:row>
    <x:row r="173" ht="24" customHeight="1">
      <x:c r="A173" s="2" t="str">
        <x:v>SAL</x:v>
      </x:c>
      <x:c r="B173" s="2" t="str">
        <x:v>DEST</x:v>
      </x:c>
      <x:c r="C173" s="11" t="n">
        <x:v>143</x:v>
      </x:c>
      <x:c r="D173" s="19" t="n">
        <x:v>0.03694832766392949</x:v>
      </x:c>
      <x:c r="E173" s="19" t="n">
        <x:v>-0.09822269652500376</x:v>
      </x:c>
      <x:c r="F173" s="2" t="str">
        <x:v>否</x:v>
      </x:c>
      <x:c r="G173" s="11" t="n">
        <x:v>23</x:v>
      </x:c>
      <x:c r="H173" s="19" t="n">
        <x:v>0.4813660282796912</x:v>
      </x:c>
      <x:c r="I173" s="11" t="n">
        <x:v>120</x:v>
      </x:c>
      <x:c r="J173" s="19" t="n">
        <x:v>-0.1477020621145594</x:v>
      </x:c>
      <x:c r="K173" s="2" t="str"/>
      <x:c r="L173" s="2"/>
      <x:c r="M173" s="2"/>
      <x:c r="N173" s="2"/>
      <x:c r="O173" s="2"/>
      <x:c r="P173" s="2"/>
      <x:c r="Q173" s="2"/>
      <x:c r="R173" s="2"/>
    </x:row>
    <x:row r="174" ht="24" customHeight="1">
      <x:c r="A174" s="10" t="str">
        <x:v>CN</x:v>
      </x:c>
      <x:c r="B174" s="10" t="str">
        <x:v>TP</x:v>
      </x:c>
      <x:c r="C174" s="12" t="n">
        <x:v>143</x:v>
      </x:c>
      <x:c r="D174" s="34" t="n">
        <x:v>-0.034653450324716034</x:v>
      </x:c>
      <x:c r="E174" s="34" t="n">
        <x:v>-0.019969590082066547</x:v>
      </x:c>
      <x:c r="F174" s="10" t="str">
        <x:v>否</x:v>
      </x:c>
      <x:c r="G174" s="12" t="n">
        <x:v>23</x:v>
      </x:c>
      <x:c r="H174" s="34" t="n">
        <x:v>0.18046170367986036</x:v>
      </x:c>
      <x:c r="I174" s="12" t="n">
        <x:v>120</x:v>
      </x:c>
      <x:c r="J174" s="34" t="n">
        <x:v>-0.04684320644710955</x:v>
      </x:c>
      <x:c r="K174" s="10" t="str"/>
      <x:c r="L174" s="2"/>
      <x:c r="M174" s="2"/>
      <x:c r="N174" s="2"/>
      <x:c r="O174" s="2"/>
      <x:c r="P174" s="2"/>
      <x:c r="Q174" s="2"/>
      <x:c r="R174" s="2"/>
    </x:row>
    <x:row r="175" ht="24" customHeight="1">
      <x:c r="A175" s="2" t="str">
        <x:v>CP</x:v>
      </x:c>
      <x:c r="B175" s="2" t="str">
        <x:v>TP</x:v>
      </x:c>
      <x:c r="C175" s="11" t="n">
        <x:v>143</x:v>
      </x:c>
      <x:c r="D175" s="19" t="n">
        <x:v>-0.03456614855185488</x:v>
      </x:c>
      <x:c r="E175" s="19" t="n">
        <x:v>-0.000026675230099522906</x:v>
      </x:c>
      <x:c r="F175" s="2" t="str">
        <x:v>否</x:v>
      </x:c>
      <x:c r="G175" s="11" t="n">
        <x:v>23</x:v>
      </x:c>
      <x:c r="H175" s="19" t="n">
        <x:v>0.10908169103385154</x:v>
      </x:c>
      <x:c r="I175" s="11" t="n">
        <x:v>120</x:v>
      </x:c>
      <x:c r="J175" s="19" t="n">
        <x:v>-0.08662365543319663</x:v>
      </x:c>
      <x:c r="K175" s="2" t="str"/>
      <x:c r="L175" s="2"/>
      <x:c r="M175" s="2"/>
      <x:c r="N175" s="2"/>
      <x:c r="O175" s="2"/>
      <x:c r="P175" s="2"/>
      <x:c r="Q175" s="2"/>
      <x:c r="R175" s="2"/>
    </x:row>
    <x:row r="176" ht="24" customHeight="1">
      <x:c r="A176" s="10" t="str">
        <x:v>SWC</x:v>
      </x:c>
      <x:c r="B176" s="10" t="str">
        <x:v>DCOAST</x:v>
      </x:c>
      <x:c r="C176" s="12" t="n">
        <x:v>143</x:v>
      </x:c>
      <x:c r="D176" s="34" t="n">
        <x:v>-0.03346928215942176</x:v>
      </x:c>
      <x:c r="E176" s="34" t="n">
        <x:v>-0.10016743819560721</x:v>
      </x:c>
      <x:c r="F176" s="10" t="str">
        <x:v>否</x:v>
      </x:c>
      <x:c r="G176" s="12" t="n">
        <x:v>23</x:v>
      </x:c>
      <x:c r="H176" s="34" t="n">
        <x:v>0.5884250706705757</x:v>
      </x:c>
      <x:c r="I176" s="12" t="n">
        <x:v>120</x:v>
      </x:c>
      <x:c r="J176" s="34" t="n">
        <x:v>0.07780428174174017</x:v>
      </x:c>
      <x:c r="K176" s="10" t="str"/>
      <x:c r="L176" s="2"/>
      <x:c r="M176" s="2"/>
      <x:c r="N176" s="2"/>
      <x:c r="O176" s="2"/>
      <x:c r="P176" s="2"/>
      <x:c r="Q176" s="2"/>
      <x:c r="R176" s="2"/>
    </x:row>
    <x:row r="177" ht="24" customHeight="1">
      <x:c r="A177" s="2" t="str">
        <x:v>SAL</x:v>
      </x:c>
      <x:c r="B177" s="2" t="str">
        <x:v>DCOAST</x:v>
      </x:c>
      <x:c r="C177" s="11" t="n">
        <x:v>143</x:v>
      </x:c>
      <x:c r="D177" s="19" t="n">
        <x:v>-0.029637851304687123</x:v>
      </x:c>
      <x:c r="E177" s="19" t="n">
        <x:v>-0.07545059211089529</x:v>
      </x:c>
      <x:c r="F177" s="2" t="str">
        <x:v>否</x:v>
      </x:c>
      <x:c r="G177" s="11" t="n">
        <x:v>23</x:v>
      </x:c>
      <x:c r="H177" s="19" t="n">
        <x:v>0.4729400312275906</x:v>
      </x:c>
      <x:c r="I177" s="11" t="n">
        <x:v>120</x:v>
      </x:c>
      <x:c r="J177" s="19" t="n">
        <x:v>-0.2055301835876552</x:v>
      </x:c>
      <x:c r="K177" s="2" t="str"/>
      <x:c r="L177" s="2"/>
      <x:c r="M177" s="2"/>
      <x:c r="N177" s="2"/>
      <x:c r="O177" s="2"/>
      <x:c r="P177" s="2"/>
      <x:c r="Q177" s="2"/>
      <x:c r="R177" s="2"/>
    </x:row>
    <x:row r="178" ht="24" customHeight="1">
      <x:c r="A178" s="10" t="str">
        <x:v>POR</x:v>
      </x:c>
      <x:c r="B178" s="10" t="str">
        <x:v>CN</x:v>
      </x:c>
      <x:c r="C178" s="12" t="n">
        <x:v>143</x:v>
      </x:c>
      <x:c r="D178" s="34" t="n">
        <x:v>-0.028402682241862456</x:v>
      </x:c>
      <x:c r="E178" s="34" t="n">
        <x:v>0.07546412906870363</x:v>
      </x:c>
      <x:c r="F178" s="10" t="str">
        <x:v>否</x:v>
      </x:c>
      <x:c r="G178" s="12" t="n">
        <x:v>23</x:v>
      </x:c>
      <x:c r="H178" s="34" t="n">
        <x:v>0.252417694473736</x:v>
      </x:c>
      <x:c r="I178" s="12" t="n">
        <x:v>120</x:v>
      </x:c>
      <x:c r="J178" s="34" t="n">
        <x:v>-0.05838477029710016</x:v>
      </x:c>
      <x:c r="K178" s="10" t="str"/>
      <x:c r="L178" s="2"/>
      <x:c r="M178" s="2"/>
      <x:c r="N178" s="2"/>
      <x:c r="O178" s="2"/>
      <x:c r="P178" s="2"/>
      <x:c r="Q178" s="2"/>
      <x:c r="R178" s="2"/>
    </x:row>
    <x:row r="179" ht="24" customHeight="1">
      <x:c r="A179" s="2" t="str">
        <x:v>BD</x:v>
      </x:c>
      <x:c r="B179" s="2" t="str">
        <x:v>CN</x:v>
      </x:c>
      <x:c r="C179" s="11" t="n">
        <x:v>143</x:v>
      </x:c>
      <x:c r="D179" s="19" t="n">
        <x:v>0.028375831580060518</x:v>
      </x:c>
      <x:c r="E179" s="19" t="n">
        <x:v>-0.07608057751760626</x:v>
      </x:c>
      <x:c r="F179" s="2" t="str">
        <x:v>否</x:v>
      </x:c>
      <x:c r="G179" s="11" t="n">
        <x:v>23</x:v>
      </x:c>
      <x:c r="H179" s="19" t="n">
        <x:v>-0.25231207119601634</x:v>
      </x:c>
      <x:c r="I179" s="11" t="n">
        <x:v>120</x:v>
      </x:c>
      <x:c r="J179" s="19" t="n">
        <x:v>0.058359199951441565</x:v>
      </x:c>
      <x:c r="K179" s="2" t="str"/>
      <x:c r="L179" s="2"/>
      <x:c r="M179" s="2"/>
      <x:c r="N179" s="2"/>
      <x:c r="O179" s="2"/>
      <x:c r="P179" s="2"/>
      <x:c r="Q179" s="2"/>
      <x:c r="R179" s="2"/>
    </x:row>
    <x:row r="180" ht="24" customHeight="1">
      <x:c r="A180" s="10" t="str">
        <x:v>LAT</x:v>
      </x:c>
      <x:c r="B180" s="10" t="str">
        <x:v>CP</x:v>
      </x:c>
      <x:c r="C180" s="12" t="n">
        <x:v>143</x:v>
      </x:c>
      <x:c r="D180" s="34" t="n">
        <x:v>0.024861361783276435</x:v>
      </x:c>
      <x:c r="E180" s="34" t="n">
        <x:v>0.26588022616505236</x:v>
      </x:c>
      <x:c r="F180" s="10" t="str">
        <x:v>否</x:v>
      </x:c>
      <x:c r="G180" s="12" t="n">
        <x:v>23</x:v>
      </x:c>
      <x:c r="H180" s="34" t="n">
        <x:v>0.23993413307681552</x:v>
      </x:c>
      <x:c r="I180" s="12" t="n">
        <x:v>120</x:v>
      </x:c>
      <x:c r="J180" s="34" t="n">
        <x:v>0.28923593871782693</x:v>
      </x:c>
      <x:c r="K180" s="10" t="str"/>
      <x:c r="L180" s="2"/>
      <x:c r="M180" s="2"/>
      <x:c r="N180" s="2"/>
      <x:c r="O180" s="2"/>
      <x:c r="P180" s="2"/>
      <x:c r="Q180" s="2"/>
      <x:c r="R180" s="2"/>
    </x:row>
    <x:row r="181" ht="24" customHeight="1">
      <x:c r="A181" s="2" t="str">
        <x:v>NP</x:v>
      </x:c>
      <x:c r="B181" s="2" t="str">
        <x:v>TP</x:v>
      </x:c>
      <x:c r="C181" s="11" t="n">
        <x:v>143</x:v>
      </x:c>
      <x:c r="D181" s="19" t="n">
        <x:v>-0.02348736283072968</x:v>
      </x:c>
      <x:c r="E181" s="19" t="n">
        <x:v>0.0179309991396799</x:v>
      </x:c>
      <x:c r="F181" s="2" t="str">
        <x:v>否</x:v>
      </x:c>
      <x:c r="G181" s="11" t="n">
        <x:v>23</x:v>
      </x:c>
      <x:c r="H181" s="19" t="n">
        <x:v>0.09558207055239065</x:v>
      </x:c>
      <x:c r="I181" s="11" t="n">
        <x:v>120</x:v>
      </x:c>
      <x:c r="J181" s="19" t="n">
        <x:v>-0.07254004946883034</x:v>
      </x:c>
      <x:c r="K181" s="2" t="str"/>
      <x:c r="L181" s="2"/>
      <x:c r="M181" s="2"/>
      <x:c r="N181" s="2"/>
      <x:c r="O181" s="2"/>
      <x:c r="P181" s="2"/>
      <x:c r="Q181" s="2"/>
      <x:c r="R181" s="2"/>
    </x:row>
    <x:row r="182" ht="24" customHeight="1">
      <x:c r="A182" s="10" t="str">
        <x:v>BD</x:v>
      </x:c>
      <x:c r="B182" s="10" t="str">
        <x:v>DCOAST</x:v>
      </x:c>
      <x:c r="C182" s="12" t="n">
        <x:v>143</x:v>
      </x:c>
      <x:c r="D182" s="34" t="n">
        <x:v>0.017429005542701537</x:v>
      </x:c>
      <x:c r="E182" s="34" t="n">
        <x:v>0.11824104570742187</x:v>
      </x:c>
      <x:c r="F182" s="10" t="str">
        <x:v>否</x:v>
      </x:c>
      <x:c r="G182" s="12" t="n">
        <x:v>23</x:v>
      </x:c>
      <x:c r="H182" s="34" t="n">
        <x:v>-0.2771950787063222</x:v>
      </x:c>
      <x:c r="I182" s="12" t="n">
        <x:v>120</x:v>
      </x:c>
      <x:c r="J182" s="34" t="n">
        <x:v>-0.11882936825878775</x:v>
      </x:c>
      <x:c r="K182" s="10" t="str"/>
      <x:c r="L182" s="2"/>
      <x:c r="M182" s="2"/>
      <x:c r="N182" s="2"/>
      <x:c r="O182" s="2"/>
      <x:c r="P182" s="2"/>
      <x:c r="Q182" s="2"/>
      <x:c r="R182" s="2"/>
    </x:row>
    <x:row r="183" ht="24" customHeight="1">
      <x:c r="A183" s="2" t="str">
        <x:v>POR</x:v>
      </x:c>
      <x:c r="B183" s="2" t="str">
        <x:v>DCOAST</x:v>
      </x:c>
      <x:c r="C183" s="11" t="n">
        <x:v>143</x:v>
      </x:c>
      <x:c r="D183" s="19" t="n">
        <x:v>-0.01710132624444937</x:v>
      </x:c>
      <x:c r="E183" s="19" t="n">
        <x:v>-0.11738199472745497</x:v>
      </x:c>
      <x:c r="F183" s="2" t="str">
        <x:v>否</x:v>
      </x:c>
      <x:c r="G183" s="11" t="n">
        <x:v>23</x:v>
      </x:c>
      <x:c r="H183" s="19" t="n">
        <x:v>0.2772223524789335</x:v>
      </x:c>
      <x:c r="I183" s="11" t="n">
        <x:v>120</x:v>
      </x:c>
      <x:c r="J183" s="19" t="n">
        <x:v>0.11918223945246799</x:v>
      </x:c>
      <x:c r="K183" s="2" t="str"/>
      <x:c r="L183" s="2"/>
      <x:c r="M183" s="2"/>
      <x:c r="N183" s="2"/>
      <x:c r="O183" s="2"/>
      <x:c r="P183" s="2"/>
      <x:c r="Q183" s="2"/>
      <x:c r="R183" s="2"/>
    </x:row>
    <x:row r="184" ht="24" customHeight="1">
      <x:c r="A184" s="10" t="str">
        <x:v>LON</x:v>
      </x:c>
      <x:c r="B184" s="10" t="str">
        <x:v>CN</x:v>
      </x:c>
      <x:c r="C184" s="12" t="n">
        <x:v>143</x:v>
      </x:c>
      <x:c r="D184" s="34" t="n">
        <x:v>0.01599608453828881</x:v>
      </x:c>
      <x:c r="E184" s="34" t="n">
        <x:v>-0.13278382077688128</x:v>
      </x:c>
      <x:c r="F184" s="10" t="str">
        <x:v>否</x:v>
      </x:c>
      <x:c r="G184" s="12" t="n">
        <x:v>23</x:v>
      </x:c>
      <x:c r="H184" s="34" t="n">
        <x:v>0.1620123704860661</x:v>
      </x:c>
      <x:c r="I184" s="12" t="n">
        <x:v>120</x:v>
      </x:c>
      <x:c r="J184" s="34" t="n">
        <x:v>-0.18745779147155348</x:v>
      </x:c>
      <x:c r="K184" s="10" t="str"/>
      <x:c r="L184" s="2"/>
      <x:c r="M184" s="2"/>
      <x:c r="N184" s="2"/>
      <x:c r="O184" s="2"/>
      <x:c r="P184" s="2"/>
      <x:c r="Q184" s="2"/>
      <x:c r="R184" s="2"/>
    </x:row>
    <x:row r="185" ht="24" customHeight="1">
      <x:c r="A185" s="2" t="str">
        <x:v>DCOAST</x:v>
      </x:c>
      <x:c r="B185" s="2" t="str">
        <x:v>DEST</x:v>
      </x:c>
      <x:c r="C185" s="11" t="n">
        <x:v>143</x:v>
      </x:c>
      <x:c r="D185" s="19" t="n">
        <x:v>-0.013299383557527415</x:v>
      </x:c>
      <x:c r="E185" s="19" t="n">
        <x:v>0.22974736531074558</x:v>
      </x:c>
      <x:c r="F185" s="2" t="str">
        <x:v>否</x:v>
      </x:c>
      <x:c r="G185" s="11" t="n">
        <x:v>23</x:v>
      </x:c>
      <x:c r="H185" s="19" t="n">
        <x:v>0.9041297634220333</x:v>
      </x:c>
      <x:c r="I185" s="11" t="n">
        <x:v>120</x:v>
      </x:c>
      <x:c r="J185" s="19" t="n">
        <x:v>-0.12781546174930924</x:v>
      </x:c>
      <x:c r="K185" s="2" t="str"/>
      <x:c r="L185" s="2"/>
      <x:c r="M185" s="2"/>
      <x:c r="N185" s="2"/>
      <x:c r="O185" s="2"/>
      <x:c r="P185" s="2"/>
      <x:c r="Q185" s="2"/>
      <x:c r="R185" s="2"/>
    </x:row>
    <x:row r="186" ht="24" customHeight="1">
      <x:c r="A186" s="10" t="str">
        <x:v>LAT</x:v>
      </x:c>
      <x:c r="B186" s="10" t="str">
        <x:v>NP</x:v>
      </x:c>
      <x:c r="C186" s="12" t="n">
        <x:v>143</x:v>
      </x:c>
      <x:c r="D186" s="34" t="n">
        <x:v>0.012882814901900092</x:v>
      </x:c>
      <x:c r="E186" s="34" t="n">
        <x:v>0.23863126893512202</x:v>
      </x:c>
      <x:c r="F186" s="10" t="str">
        <x:v>否</x:v>
      </x:c>
      <x:c r="G186" s="12" t="n">
        <x:v>23</x:v>
      </x:c>
      <x:c r="H186" s="34" t="n">
        <x:v>0.31078318265763943</x:v>
      </x:c>
      <x:c r="I186" s="12" t="n">
        <x:v>120</x:v>
      </x:c>
      <x:c r="J186" s="34" t="n">
        <x:v>0.24526767319536957</x:v>
      </x:c>
      <x:c r="K186" s="10" t="str"/>
      <x:c r="L186" s="2"/>
      <x:c r="M186" s="2"/>
      <x:c r="N186" s="2"/>
      <x:c r="O186" s="2"/>
      <x:c r="P186" s="2"/>
      <x:c r="Q186" s="2"/>
      <x:c r="R186" s="2"/>
    </x:row>
    <x:row r="187" ht="24" customHeight="1">
      <x:c r="A187" s="2" t="str">
        <x:v>CN</x:v>
      </x:c>
      <x:c r="B187" s="2" t="str">
        <x:v>DEST</x:v>
      </x:c>
      <x:c r="C187" s="11" t="n">
        <x:v>143</x:v>
      </x:c>
      <x:c r="D187" s="19" t="n">
        <x:v>0.007963196667350432</x:v>
      </x:c>
      <x:c r="E187" s="19" t="n">
        <x:v>-0.042042430249841924</x:v>
      </x:c>
      <x:c r="F187" s="2" t="str">
        <x:v>否</x:v>
      </x:c>
      <x:c r="G187" s="11" t="n">
        <x:v>23</x:v>
      </x:c>
      <x:c r="H187" s="19" t="n">
        <x:v>-0.14334672869912263</x:v>
      </x:c>
      <x:c r="I187" s="11" t="n">
        <x:v>120</x:v>
      </x:c>
      <x:c r="J187" s="19" t="n">
        <x:v>0.024703179098571518</x:v>
      </x:c>
      <x:c r="K187" s="2" t="str"/>
      <x:c r="L187" s="2"/>
      <x:c r="M187" s="2"/>
      <x:c r="N187" s="2"/>
      <x:c r="O187" s="2"/>
      <x:c r="P187" s="2"/>
      <x:c r="Q187" s="2"/>
      <x:c r="R187" s="2"/>
    </x:row>
    <x:row r="188" ht="24" customHeight="1">
      <x:c r="A188" s="10" t="str">
        <x:v>NP</x:v>
      </x:c>
      <x:c r="B188" s="10" t="str">
        <x:v>DCOAST</x:v>
      </x:c>
      <x:c r="C188" s="12" t="n">
        <x:v>143</x:v>
      </x:c>
      <x:c r="D188" s="34" t="n">
        <x:v>0.007254665464428642</x:v>
      </x:c>
      <x:c r="E188" s="34" t="n">
        <x:v>-0.02553392335717979</x:v>
      </x:c>
      <x:c r="F188" s="10" t="str">
        <x:v>否</x:v>
      </x:c>
      <x:c r="G188" s="12" t="n">
        <x:v>23</x:v>
      </x:c>
      <x:c r="H188" s="34" t="n">
        <x:v>0.22872529538998743</x:v>
      </x:c>
      <x:c r="I188" s="12" t="n">
        <x:v>120</x:v>
      </x:c>
      <x:c r="J188" s="34" t="n">
        <x:v>-0.008446538966301128</x:v>
      </x:c>
      <x:c r="K188" s="10" t="str"/>
      <x:c r="L188" s="2"/>
      <x:c r="M188" s="2"/>
      <x:c r="N188" s="2"/>
      <x:c r="O188" s="2"/>
      <x:c r="P188" s="2"/>
      <x:c r="Q188" s="2"/>
      <x:c r="R188" s="2"/>
    </x:row>
    <x:row r="189" ht="24" customHeight="1">
      <x:c r="A189" s="2" t="str">
        <x:v>pH</x:v>
      </x:c>
      <x:c r="B189" s="2" t="str">
        <x:v>DCOAST</x:v>
      </x:c>
      <x:c r="C189" s="11" t="n">
        <x:v>143</x:v>
      </x:c>
      <x:c r="D189" s="19" t="n">
        <x:v>0.004890135347945366</x:v>
      </x:c>
      <x:c r="E189" s="19" t="n">
        <x:v>-0.12033416224793149</x:v>
      </x:c>
      <x:c r="F189" s="2" t="str">
        <x:v>否</x:v>
      </x:c>
      <x:c r="G189" s="11" t="n">
        <x:v>23</x:v>
      </x:c>
      <x:c r="H189" s="19" t="n">
        <x:v>-0.14098169463769672</x:v>
      </x:c>
      <x:c r="I189" s="11" t="n">
        <x:v>120</x:v>
      </x:c>
      <x:c r="J189" s="19" t="n">
        <x:v>0.08748065592718832</x:v>
      </x:c>
      <x:c r="K189" s="2" t="str"/>
      <x:c r="L189" s="2"/>
      <x:c r="M189" s="2"/>
      <x:c r="N189" s="2"/>
      <x:c r="O189" s="2"/>
      <x:c r="P189" s="2"/>
      <x:c r="Q189" s="2"/>
      <x:c r="R189" s="2"/>
    </x:row>
    <x:row r="190" ht="24" customHeight="1">
      <x:c r="A190" s="10" t="str">
        <x:v>CN</x:v>
      </x:c>
      <x:c r="B190" s="10" t="str">
        <x:v>MAP</x:v>
      </x:c>
      <x:c r="C190" s="12" t="n">
        <x:v>143</x:v>
      </x:c>
      <x:c r="D190" s="34" t="n">
        <x:v>0.0039407363658822475</x:v>
      </x:c>
      <x:c r="E190" s="34" t="n">
        <x:v>-0.11779102358602801</x:v>
      </x:c>
      <x:c r="F190" s="10" t="str">
        <x:v>否</x:v>
      </x:c>
      <x:c r="G190" s="12" t="n">
        <x:v>23</x:v>
      </x:c>
      <x:c r="H190" s="34" t="n">
        <x:v>0.07176833901375446</x:v>
      </x:c>
      <x:c r="I190" s="12" t="n">
        <x:v>120</x:v>
      </x:c>
      <x:c r="J190" s="34" t="n">
        <x:v>-0.19709354238106405</x:v>
      </x:c>
      <x:c r="K190" s="10" t="str"/>
      <x:c r="L190" s="2"/>
      <x:c r="M190" s="2"/>
      <x:c r="N190" s="2"/>
      <x:c r="O190" s="2"/>
      <x:c r="P190" s="2"/>
      <x:c r="Q190" s="2"/>
      <x:c r="R190" s="2"/>
    </x:row>
    <x:row r="191" ht="24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</x:row>
    <x:row r="192" ht="38" customHeight="1">
      <x:c r="A192" s="5" t="str">
        <x:v>“—”表示区域内该变量为常量，相关系数未定义。区域差异提示只用于定位合并与区域内相关不一致的变量对。</x:v>
      </x:c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</x:row>
    <x:row r="193" ht="24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</x:row>
    <x:row r="194" ht="24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</x:row>
    <x:row r="195" ht="24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</x:row>
    <x:row r="196" ht="24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</x:row>
  </x:sheetData>
  <x:mergeCells>
    <x:mergeCell ref="A4:R4"/>
    <x:mergeCell ref="A51:R51"/>
    <x:mergeCell ref="A192:R192"/>
  </x:mergeCells>
  <x:conditionalFormatting sqref="B9:R25">
    <x:cfRule type="colorScale" priority="1">
      <x:colorScale>
        <x:cfvo type="num" val="-1"/>
        <x:cfvo type="num" val="0"/>
        <x:cfvo type="num" val="1"/>
        <x:color rgb="FFAECDE2"/>
        <x:color rgb="FFFFFFFF"/>
        <x:color rgb="FFE8AEA3"/>
      </x:colorScale>
    </x:cfRule>
  </x:conditionalFormatting>
  <x:conditionalFormatting sqref="B32:R48">
    <x:cfRule type="colorScale" priority="2">
      <x:colorScale>
        <x:cfvo type="num" val="-1"/>
        <x:cfvo type="num" val="0"/>
        <x:cfvo type="num" val="1"/>
        <x:color rgb="FFAECDE2"/>
        <x:color rgb="FFFFFFFF"/>
        <x:color rgb="FFE8AEA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30" hidden="0" customWidth="1"/>
    <x:col min="3" max="3" width="25" hidden="0" customWidth="1"/>
    <x:col min="4" max="4" width="12" hidden="0" customWidth="1"/>
    <x:col min="5" max="5" width="13" hidden="0" customWidth="1"/>
    <x:col min="6" max="6" width="79" hidden="0" customWidth="1"/>
    <x:col min="7" max="7" width="29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变量名称单位与定义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38" customHeight="1">
      <x:c r="A4" s="5" t="str">
        <x:v>A–S 共19列：2列标识/分组，17列数值候选变量；变量缩写为本次统一报告使用的名称。</x:v>
      </x:c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9" t="str">
        <x:v>源列</x:v>
      </x:c>
      <x:c r="B6" s="9" t="str">
        <x:v>原始列名</x:v>
      </x:c>
      <x:c r="C6" s="9" t="str">
        <x:v>报告名称</x:v>
      </x:c>
      <x:c r="D6" s="9" t="str">
        <x:v>缩写</x:v>
      </x:c>
      <x:c r="E6" s="9" t="str">
        <x:v>单位</x:v>
      </x:c>
      <x:c r="F6" s="9" t="str">
        <x:v>变量定义</x:v>
      </x:c>
      <x:c r="G6" s="9" t="str">
        <x:v>数据角色</x:v>
      </x:c>
      <x:c r="H6" s="9" t="str">
        <x:v>源工作表</x:v>
      </x:c>
    </x:row>
    <x:row r="7" ht="55" customHeight="1">
      <x:c r="A7" s="2" t="str">
        <x:v>A</x:v>
      </x:c>
      <x:c r="B7" s="5" t="str">
        <x:v>Plot ID</x:v>
      </x:c>
      <x:c r="C7" s="5" t="str">
        <x:v>样地编号</x:v>
      </x:c>
      <x:c r="D7" s="2" t="str">
        <x:v>Plot ID</x:v>
      </x:c>
      <x:c r="E7" s="2" t="str">
        <x:v>无</x:v>
      </x:c>
      <x:c r="F7" s="5" t="str">
        <x:v>143个唯一编号</x:v>
      </x:c>
      <x:c r="G7" s="5" t="str">
        <x:v>标识；不计算VIF</x:v>
      </x:c>
      <x:c r="H7" s="2" t="str">
        <x:v>自变量</x:v>
      </x:c>
    </x:row>
    <x:row r="8" ht="55" customHeight="1">
      <x:c r="A8" s="10" t="str">
        <x:v>B</x:v>
      </x:c>
      <x:c r="B8" s="33" t="str">
        <x:v>Region</x:v>
      </x:c>
      <x:c r="C8" s="33" t="str">
        <x:v>区域</x:v>
      </x:c>
      <x:c r="D8" s="10" t="str">
        <x:v>Region</x:v>
      </x:c>
      <x:c r="E8" s="10" t="str">
        <x:v>无</x:v>
      </x:c>
      <x:c r="F8" s="33" t="str">
        <x:v>SZ 23个；GQ 120个；代码全称未提供</x:v>
      </x:c>
      <x:c r="G8" s="33" t="str">
        <x:v>分类分组；不计算数值VIF</x:v>
      </x:c>
      <x:c r="H8" s="10" t="str">
        <x:v>自变量</x:v>
      </x:c>
    </x:row>
    <x:row r="9" ht="55" customHeight="1">
      <x:c r="A9" s="2" t="str">
        <x:v>C</x:v>
      </x:c>
      <x:c r="B9" s="5" t="str">
        <x:v>土壤容重(g/cm3)</x:v>
      </x:c>
      <x:c r="C9" s="5" t="str">
        <x:v>土壤容重</x:v>
      </x:c>
      <x:c r="D9" s="2" t="str">
        <x:v>BD</x:v>
      </x:c>
      <x:c r="E9" s="2" t="str">
        <x:v>g/cm³</x:v>
      </x:c>
      <x:c r="F9" s="5" t="str">
        <x:v>单位体积土壤的干质量</x:v>
      </x:c>
      <x:c r="G9" s="5" t="str">
        <x:v>环境候选自变量</x:v>
      </x:c>
      <x:c r="H9" s="2" t="str">
        <x:v>土壤物理</x:v>
      </x:c>
    </x:row>
    <x:row r="10" ht="55" customHeight="1">
      <x:c r="A10" s="10" t="str">
        <x:v>D</x:v>
      </x:c>
      <x:c r="B10" s="33" t="str">
        <x:v>土壤孔隙度(%)</x:v>
      </x:c>
      <x:c r="C10" s="33" t="str">
        <x:v>土壤孔隙度</x:v>
      </x:c>
      <x:c r="D10" s="10" t="str">
        <x:v>POR</x:v>
      </x:c>
      <x:c r="E10" s="10" t="str">
        <x:v>%</x:v>
      </x:c>
      <x:c r="F10" s="33" t="str">
        <x:v>土壤孔隙体积占总体积的比例</x:v>
      </x:c>
      <x:c r="G10" s="33" t="str">
        <x:v>环境候选自变量</x:v>
      </x:c>
      <x:c r="H10" s="10" t="str">
        <x:v>土壤物理</x:v>
      </x:c>
    </x:row>
    <x:row r="11" ht="55" customHeight="1">
      <x:c r="A11" s="2" t="str">
        <x:v>E</x:v>
      </x:c>
      <x:c r="B11" s="5" t="str">
        <x:v>土壤含水率(%)</x:v>
      </x:c>
      <x:c r="C11" s="5" t="str">
        <x:v>土壤含水率</x:v>
      </x:c>
      <x:c r="D11" s="2" t="str">
        <x:v>SWC</x:v>
      </x:c>
      <x:c r="E11" s="2" t="str">
        <x:v>%</x:v>
      </x:c>
      <x:c r="F11" s="5" t="str">
        <x:v>按干基质量含水率解释：(湿质量−干质量)/干质量×100%；需与原始称量方法核对</x:v>
      </x:c>
      <x:c r="G11" s="5" t="str">
        <x:v>环境候选自变量</x:v>
      </x:c>
      <x:c r="H11" s="2" t="str">
        <x:v>土壤物理</x:v>
      </x:c>
    </x:row>
    <x:row r="12" ht="55" customHeight="1">
      <x:c r="A12" s="10" t="str">
        <x:v>F</x:v>
      </x:c>
      <x:c r="B12" s="33" t="str">
        <x:v>采样点中心纬度</x:v>
      </x:c>
      <x:c r="C12" s="33" t="str">
        <x:v>采样点中心纬度</x:v>
      </x:c>
      <x:c r="D12" s="10" t="str">
        <x:v>LAT</x:v>
      </x:c>
      <x:c r="E12" s="10" t="str">
        <x:v>°</x:v>
      </x:c>
      <x:c r="F12" s="33" t="str">
        <x:v>采样点中心的纬度</x:v>
      </x:c>
      <x:c r="G12" s="33" t="str">
        <x:v>空间位置</x:v>
      </x:c>
      <x:c r="H12" s="10" t="str">
        <x:v>空间位置</x:v>
      </x:c>
    </x:row>
    <x:row r="13" ht="55" customHeight="1">
      <x:c r="A13" s="2" t="str">
        <x:v>G</x:v>
      </x:c>
      <x:c r="B13" s="5" t="str">
        <x:v>采样点中心经度</x:v>
      </x:c>
      <x:c r="C13" s="5" t="str">
        <x:v>采样点中心经度</x:v>
      </x:c>
      <x:c r="D13" s="2" t="str">
        <x:v>LON</x:v>
      </x:c>
      <x:c r="E13" s="2" t="str">
        <x:v>°</x:v>
      </x:c>
      <x:c r="F13" s="5" t="str">
        <x:v>采样点中心的经度</x:v>
      </x:c>
      <x:c r="G13" s="5" t="str">
        <x:v>空间位置</x:v>
      </x:c>
      <x:c r="H13" s="2" t="str">
        <x:v>空间位置</x:v>
      </x:c>
    </x:row>
    <x:row r="14" ht="55" customHeight="1">
      <x:c r="A14" s="10" t="str">
        <x:v>H</x:v>
      </x:c>
      <x:c r="B14" s="33" t="str">
        <x:v>Salinity</x:v>
      </x:c>
      <x:c r="C14" s="33" t="str">
        <x:v>盐度</x:v>
      </x:c>
      <x:c r="D14" s="10" t="str">
        <x:v>SAL</x:v>
      </x:c>
      <x:c r="E14" s="10" t="str">
        <x:v>ppt</x:v>
      </x:c>
      <x:c r="F14" s="33" t="str">
        <x:v>Salinity；单位由用户确认为 ppt，测定介质未注明</x:v>
      </x:c>
      <x:c r="G14" s="33" t="str">
        <x:v>环境候选自变量</x:v>
      </x:c>
      <x:c r="H14" s="10" t="str">
        <x:v>土壤化学</x:v>
      </x:c>
    </x:row>
    <x:row r="15" ht="55" customHeight="1">
      <x:c r="A15" s="2" t="str">
        <x:v>I</x:v>
      </x:c>
      <x:c r="B15" s="5" t="str">
        <x:v>pH</x:v>
      </x:c>
      <x:c r="C15" s="5" t="str">
        <x:v>酸碱度</x:v>
      </x:c>
      <x:c r="D15" s="2" t="str">
        <x:v>pH</x:v>
      </x:c>
      <x:c r="E15" s="2" t="str">
        <x:v>无量纲</x:v>
      </x:c>
      <x:c r="F15" s="5" t="str">
        <x:v>pH；提取液和测定方法未注明</x:v>
      </x:c>
      <x:c r="G15" s="5" t="str">
        <x:v>环境候选自变量</x:v>
      </x:c>
      <x:c r="H15" s="2" t="str">
        <x:v>土壤化学</x:v>
      </x:c>
    </x:row>
    <x:row r="16" ht="55" customHeight="1">
      <x:c r="A16" s="10" t="str">
        <x:v>J</x:v>
      </x:c>
      <x:c r="B16" s="33" t="str">
        <x:v>C:N比</x:v>
      </x:c>
      <x:c r="C16" s="33" t="str">
        <x:v>C:N 比</x:v>
      </x:c>
      <x:c r="D16" s="10" t="str">
        <x:v>CN</x:v>
      </x:c>
      <x:c r="E16" s="10" t="str">
        <x:v>无量纲</x:v>
      </x:c>
      <x:c r="F16" s="33" t="str">
        <x:v>碳氮质量比；来自化学计量工作表，不据植物组织碳氮列重算</x:v>
      </x:c>
      <x:c r="G16" s="33" t="str">
        <x:v>环境候选自变量</x:v>
      </x:c>
      <x:c r="H16" s="10" t="str">
        <x:v>化学计量</x:v>
      </x:c>
    </x:row>
    <x:row r="17" ht="55" customHeight="1">
      <x:c r="A17" s="2" t="str">
        <x:v>K</x:v>
      </x:c>
      <x:c r="B17" s="5" t="str">
        <x:v>C:P比</x:v>
      </x:c>
      <x:c r="C17" s="5" t="str">
        <x:v>C:P 比</x:v>
      </x:c>
      <x:c r="D17" s="2" t="str">
        <x:v>CP</x:v>
      </x:c>
      <x:c r="E17" s="2" t="str">
        <x:v>无量纲</x:v>
      </x:c>
      <x:c r="F17" s="5" t="str">
        <x:v>碳磷质量比；来自化学计量工作表，不据植物组织碳磷列重算</x:v>
      </x:c>
      <x:c r="G17" s="5" t="str">
        <x:v>环境候选自变量</x:v>
      </x:c>
      <x:c r="H17" s="2" t="str">
        <x:v>化学计量</x:v>
      </x:c>
    </x:row>
    <x:row r="18" ht="55" customHeight="1">
      <x:c r="A18" s="10" t="str">
        <x:v>L</x:v>
      </x:c>
      <x:c r="B18" s="33" t="str">
        <x:v>N:P比</x:v>
      </x:c>
      <x:c r="C18" s="33" t="str">
        <x:v>N:P 比</x:v>
      </x:c>
      <x:c r="D18" s="10" t="str">
        <x:v>NP</x:v>
      </x:c>
      <x:c r="E18" s="10" t="str">
        <x:v>无量纲</x:v>
      </x:c>
      <x:c r="F18" s="33" t="str">
        <x:v>氮磷质量比；来自化学计量工作表，不据植物组织氮磷列重算</x:v>
      </x:c>
      <x:c r="G18" s="33" t="str">
        <x:v>环境候选自变量</x:v>
      </x:c>
      <x:c r="H18" s="10" t="str">
        <x:v>化学计量</x:v>
      </x:c>
    </x:row>
    <x:row r="19" ht="55" customHeight="1">
      <x:c r="A19" s="2" t="str">
        <x:v>M</x:v>
      </x:c>
      <x:c r="B19" s="5" t="str">
        <x:v>SOC</x:v>
      </x:c>
      <x:c r="C19" s="5" t="str">
        <x:v>植物组织碳含量</x:v>
      </x:c>
      <x:c r="D19" s="2" t="str">
        <x:v>SOC</x:v>
      </x:c>
      <x:c r="E19" s="2" t="str">
        <x:v>g/kg</x:v>
      </x:c>
      <x:c r="F19" s="5" t="str">
        <x:v>源列名 SOC；用户确认为植物组织含量，不能解读为土壤有机碳</x:v>
      </x:c>
      <x:c r="G19" s="5" t="str">
        <x:v>植物性状协变量</x:v>
      </x:c>
      <x:c r="H19" s="2" t="str">
        <x:v>植物</x:v>
      </x:c>
    </x:row>
    <x:row r="20" ht="55" customHeight="1">
      <x:c r="A20" s="10" t="str">
        <x:v>N</x:v>
      </x:c>
      <x:c r="B20" s="33" t="str">
        <x:v>TN</x:v>
      </x:c>
      <x:c r="C20" s="33" t="str">
        <x:v>植物组织氮含量</x:v>
      </x:c>
      <x:c r="D20" s="10" t="str">
        <x:v>TN</x:v>
      </x:c>
      <x:c r="E20" s="10" t="str">
        <x:v>g/kg</x:v>
      </x:c>
      <x:c r="F20" s="33" t="str">
        <x:v>源列名 TN；用户确认为植物组织总氮含量</x:v>
      </x:c>
      <x:c r="G20" s="33" t="str">
        <x:v>植物性状协变量</x:v>
      </x:c>
      <x:c r="H20" s="10" t="str">
        <x:v>植物</x:v>
      </x:c>
    </x:row>
    <x:row r="21" ht="55" customHeight="1">
      <x:c r="A21" s="2" t="str">
        <x:v>O</x:v>
      </x:c>
      <x:c r="B21" s="5" t="str">
        <x:v>TP</x:v>
      </x:c>
      <x:c r="C21" s="5" t="str">
        <x:v>植物组织磷含量</x:v>
      </x:c>
      <x:c r="D21" s="2" t="str">
        <x:v>TP</x:v>
      </x:c>
      <x:c r="E21" s="2" t="str">
        <x:v>g/kg</x:v>
      </x:c>
      <x:c r="F21" s="5" t="str">
        <x:v>源列名 TP；用户确认为植物组织总磷含量</x:v>
      </x:c>
      <x:c r="G21" s="5" t="str">
        <x:v>植物性状协变量</x:v>
      </x:c>
      <x:c r="H21" s="2" t="str">
        <x:v>植物</x:v>
      </x:c>
    </x:row>
    <x:row r="22" ht="55" customHeight="1">
      <x:c r="A22" s="10" t="str">
        <x:v>P</x:v>
      </x:c>
      <x:c r="B22" s="33" t="str">
        <x:v>MAT_C（℃）</x:v>
      </x:c>
      <x:c r="C22" s="33" t="str">
        <x:v>年均气温</x:v>
      </x:c>
      <x:c r="D22" s="10" t="str">
        <x:v>MAT</x:v>
      </x:c>
      <x:c r="E22" s="10" t="str">
        <x:v>°C</x:v>
      </x:c>
      <x:c r="F22" s="33" t="str">
        <x:v>MAT_C；年均气温</x:v>
      </x:c>
      <x:c r="G22" s="33" t="str">
        <x:v>环境候选自变量</x:v>
      </x:c>
      <x:c r="H22" s="10" t="str">
        <x:v>气候</x:v>
      </x:c>
    </x:row>
    <x:row r="23" ht="55" customHeight="1">
      <x:c r="A23" s="2" t="str">
        <x:v>Q</x:v>
      </x:c>
      <x:c r="B23" s="5" t="str">
        <x:v>MAP_mm_yr（毫米 / 年）</x:v>
      </x:c>
      <x:c r="C23" s="5" t="str">
        <x:v>年均降水量</x:v>
      </x:c>
      <x:c r="D23" s="2" t="str">
        <x:v>MAP</x:v>
      </x:c>
      <x:c r="E23" s="2" t="str">
        <x:v>mm/年</x:v>
      </x:c>
      <x:c r="F23" s="5" t="str">
        <x:v>MAP_mm_yr；年均降水量</x:v>
      </x:c>
      <x:c r="G23" s="5" t="str">
        <x:v>环境候选自变量</x:v>
      </x:c>
      <x:c r="H23" s="2" t="str">
        <x:v>气候</x:v>
      </x:c>
    </x:row>
    <x:row r="24" ht="55" customHeight="1">
      <x:c r="A24" s="10" t="str">
        <x:v>R</x:v>
      </x:c>
      <x:c r="B24" s="33" t="str">
        <x:v>Distance_coast_m</x:v>
      </x:c>
      <x:c r="C24" s="33" t="str">
        <x:v>距海岸距离</x:v>
      </x:c>
      <x:c r="D24" s="10" t="str">
        <x:v>DCOAST</x:v>
      </x:c>
      <x:c r="E24" s="10" t="str">
        <x:v>m</x:v>
      </x:c>
      <x:c r="F24" s="33" t="str">
        <x:v>Distance_coast_m；样点到海岸的距离</x:v>
      </x:c>
      <x:c r="G24" s="33" t="str">
        <x:v>环境候选自变量</x:v>
      </x:c>
      <x:c r="H24" s="10" t="str">
        <x:v>水文</x:v>
      </x:c>
    </x:row>
    <x:row r="25" ht="55" customHeight="1">
      <x:c r="A25" s="2" t="str">
        <x:v>S</x:v>
      </x:c>
      <x:c r="B25" s="5" t="str">
        <x:v>Distance_estuary_model_m</x:v>
      </x:c>
      <x:c r="C25" s="5" t="str">
        <x:v>距模型河口距离</x:v>
      </x:c>
      <x:c r="D25" s="2" t="str">
        <x:v>DEST</x:v>
      </x:c>
      <x:c r="E25" s="2" t="str">
        <x:v>m</x:v>
      </x:c>
      <x:c r="F25" s="5" t="str">
        <x:v>Distance_estuary_model_m；至 HydroRIVERS 概化出口点的直线距离，仅表征相对梯度</x:v>
      </x:c>
      <x:c r="G25" s="5" t="str">
        <x:v>环境候选自变量</x:v>
      </x:c>
      <x:c r="H25" s="2" t="str">
        <x:v>水文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</x:sheetData>
  <x:mergeCells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1" max="21" width="80" hidden="0" customWidth="1"/>
  </x:cols>
  <x:sheetData>
    <x:row r="1" ht="58" customHeight="1">
      <x:c r="A1" s="9" t="str">
        <x:v>Plot ID</x:v>
      </x:c>
      <x:c r="B1" s="9" t="str">
        <x:v>Region</x:v>
      </x:c>
      <x:c r="C1" s="9" t="str">
        <x:v>土壤容重(g/cm3)</x:v>
      </x:c>
      <x:c r="D1" s="9" t="str">
        <x:v>土壤孔隙度(%)</x:v>
      </x:c>
      <x:c r="E1" s="9" t="str">
        <x:v>土壤含水率(%)</x:v>
      </x:c>
      <x:c r="F1" s="9" t="str">
        <x:v>采样点中心纬度</x:v>
      </x:c>
      <x:c r="G1" s="9" t="str">
        <x:v>采样点中心经度</x:v>
      </x:c>
      <x:c r="H1" s="9" t="str">
        <x:v>Salinity</x:v>
      </x:c>
      <x:c r="I1" s="9" t="str">
        <x:v>pH</x:v>
      </x:c>
      <x:c r="J1" s="9" t="str">
        <x:v>C:N比</x:v>
      </x:c>
      <x:c r="K1" s="9" t="str">
        <x:v>C:P比</x:v>
      </x:c>
      <x:c r="L1" s="9" t="str">
        <x:v>N:P比</x:v>
      </x:c>
      <x:c r="M1" s="9" t="str">
        <x:v>SOC</x:v>
      </x:c>
      <x:c r="N1" s="9" t="str">
        <x:v>TN</x:v>
      </x:c>
      <x:c r="O1" s="9" t="str">
        <x:v>TP</x:v>
      </x:c>
      <x:c r="P1" s="9" t="str">
        <x:v>MAT_C（℃）</x:v>
      </x:c>
      <x:c r="Q1" s="9" t="str">
        <x:v>MAP_mm_yr（毫米 / 年）</x:v>
      </x:c>
      <x:c r="R1" s="9" t="str">
        <x:v>Distance_coast_m</x:v>
      </x:c>
      <x:c r="S1" s="9" t="str">
        <x:v>Distance_estuary_model_m</x:v>
      </x:c>
      <x:c r="T1" s="2"/>
      <x:c r="U1" s="2" t="str">
        <x:v>数据来源</x:v>
      </x:c>
      <x:c r="V1" s="2"/>
    </x:row>
    <x:row r="2" ht="24" customHeight="1">
      <x:c r="A2" s="2" t="str">
        <x:v>FT1</x:v>
      </x:c>
      <x:c r="B2" s="2" t="str">
        <x:v>SZ</x:v>
      </x:c>
      <x:c r="C2" s="19" t="n">
        <x:v>0.434</x:v>
      </x:c>
      <x:c r="D2" s="19" t="n">
        <x:v>83.62</x:v>
      </x:c>
      <x:c r="E2" s="19" t="n">
        <x:v>157.73</x:v>
      </x:c>
      <x:c r="F2" s="38" t="n">
        <x:v>22.52866688</x:v>
      </x:c>
      <x:c r="G2" s="38" t="n">
        <x:v>114.0035774</x:v>
      </x:c>
      <x:c r="H2" s="11" t="n">
        <x:v>15</x:v>
      </x:c>
      <x:c r="I2" s="19" t="n">
        <x:v>6.44</x:v>
      </x:c>
      <x:c r="J2" s="19" t="n">
        <x:v>20.21</x:v>
      </x:c>
      <x:c r="K2" s="19" t="n">
        <x:v>73.73</x:v>
      </x:c>
      <x:c r="L2" s="19" t="n">
        <x:v>3.65</x:v>
      </x:c>
      <x:c r="M2" s="19" t="n">
        <x:v>479.8964397826803</x:v>
      </x:c>
      <x:c r="N2" s="19" t="n">
        <x:v>19.3501821145415</x:v>
      </x:c>
      <x:c r="O2" s="19" t="n">
        <x:v>1.8672177930199867</x:v>
      </x:c>
      <x:c r="P2" s="19" t="n">
        <x:v>22.77083396911621</x:v>
      </x:c>
      <x:c r="Q2" s="11" t="n">
        <x:v>1829</x:v>
      </x:c>
      <x:c r="R2" s="19" t="n">
        <x:v>207.48122818733478</x:v>
      </x:c>
      <x:c r="S2" s="19" t="n">
        <x:v>1685.7997754376681</x:v>
      </x:c>
      <x:c r="T2" s="2"/>
      <x:c r="U2" s="2" t="str">
        <x:v>模块.xlsx 自变量 A1:S144</x:v>
      </x:c>
      <x:c r="V2" s="2"/>
    </x:row>
    <x:row r="3" ht="24" customHeight="1">
      <x:c r="A3" s="10" t="str">
        <x:v>FT2</x:v>
      </x:c>
      <x:c r="B3" s="10" t="str">
        <x:v>SZ</x:v>
      </x:c>
      <x:c r="C3" s="34" t="n">
        <x:v>0.486</x:v>
      </x:c>
      <x:c r="D3" s="34" t="n">
        <x:v>81.66</x:v>
      </x:c>
      <x:c r="E3" s="34" t="n">
        <x:v>167.42</x:v>
      </x:c>
      <x:c r="F3" s="39" t="n">
        <x:v>22.5284518</x:v>
      </x:c>
      <x:c r="G3" s="39" t="n">
        <x:v>114.0043219</x:v>
      </x:c>
      <x:c r="H3" s="12" t="n">
        <x:v>17</x:v>
      </x:c>
      <x:c r="I3" s="34" t="n">
        <x:v>6.37</x:v>
      </x:c>
      <x:c r="J3" s="34" t="n">
        <x:v>18.35</x:v>
      </x:c>
      <x:c r="K3" s="34" t="n">
        <x:v>53.32</x:v>
      </x:c>
      <x:c r="L3" s="34" t="n">
        <x:v>2.9</x:v>
      </x:c>
      <x:c r="M3" s="34" t="n">
        <x:v>462.47652643322306</x:v>
      </x:c>
      <x:c r="N3" s="34" t="n">
        <x:v>19.068772048114</x:v>
      </x:c>
      <x:c r="O3" s="34" t="n">
        <x:v>1.604443065405014</x:v>
      </x:c>
      <x:c r="P3" s="34" t="n">
        <x:v>22.77083396911621</x:v>
      </x:c>
      <x:c r="Q3" s="12" t="n">
        <x:v>1829</x:v>
      </x:c>
      <x:c r="R3" s="34" t="n">
        <x:v>240.72274125059866</x:v>
      </x:c>
      <x:c r="S3" s="34" t="n">
        <x:v>1605.9011672215752</x:v>
      </x:c>
      <x:c r="T3" s="2"/>
      <x:c r="U3" s="2"/>
      <x:c r="V3" s="2"/>
    </x:row>
    <x:row r="4" ht="24" customHeight="1">
      <x:c r="A4" s="2" t="str">
        <x:v>FT3</x:v>
      </x:c>
      <x:c r="B4" s="2" t="str">
        <x:v>SZ</x:v>
      </x:c>
      <x:c r="C4" s="19" t="n">
        <x:v>0.353</x:v>
      </x:c>
      <x:c r="D4" s="19" t="n">
        <x:v>86.68</x:v>
      </x:c>
      <x:c r="E4" s="19" t="n">
        <x:v>156.09</x:v>
      </x:c>
      <x:c r="F4" s="38" t="n">
        <x:v>22.52763723</x:v>
      </x:c>
      <x:c r="G4" s="38" t="n">
        <x:v>114.0058813</x:v>
      </x:c>
      <x:c r="H4" s="11" t="n">
        <x:v>24</x:v>
      </x:c>
      <x:c r="I4" s="19" t="n">
        <x:v>6.74</x:v>
      </x:c>
      <x:c r="J4" s="19" t="n">
        <x:v>20.53</x:v>
      </x:c>
      <x:c r="K4" s="19" t="n">
        <x:v>82.5</x:v>
      </x:c>
      <x:c r="L4" s="19" t="n">
        <x:v>4.02</x:v>
      </x:c>
      <x:c r="M4" s="19" t="n">
        <x:v>504.3059993136173</x:v>
      </x:c>
      <x:c r="N4" s="19" t="n">
        <x:v>23.460884561896204</x:v>
      </x:c>
      <x:c r="O4" s="19" t="n">
        <x:v>1.4513227765379224</x:v>
      </x:c>
      <x:c r="P4" s="19" t="n">
        <x:v>22.77083396911621</x:v>
      </x:c>
      <x:c r="Q4" s="11" t="n">
        <x:v>1829</x:v>
      </x:c>
      <x:c r="R4" s="19" t="n">
        <x:v>177.21826436701588</x:v>
      </x:c>
      <x:c r="S4" s="19" t="n">
        <x:v>1423.3664911060312</x:v>
      </x:c>
      <x:c r="T4" s="2"/>
      <x:c r="U4" s="2" t="str">
        <x:v>分析日期</x:v>
      </x:c>
      <x:c r="V4" s="2"/>
    </x:row>
    <x:row r="5" ht="24" customHeight="1">
      <x:c r="A5" s="10" t="str">
        <x:v>FT4</x:v>
      </x:c>
      <x:c r="B5" s="10" t="str">
        <x:v>SZ</x:v>
      </x:c>
      <x:c r="C5" s="34" t="n">
        <x:v>0.328</x:v>
      </x:c>
      <x:c r="D5" s="34" t="n">
        <x:v>87.62</x:v>
      </x:c>
      <x:c r="E5" s="34" t="n">
        <x:v>225.8</x:v>
      </x:c>
      <x:c r="F5" s="39" t="n">
        <x:v>22.52741718</x:v>
      </x:c>
      <x:c r="G5" s="39" t="n">
        <x:v>114.0065611</x:v>
      </x:c>
      <x:c r="H5" s="12" t="n">
        <x:v>24</x:v>
      </x:c>
      <x:c r="I5" s="34" t="n">
        <x:v>6.52</x:v>
      </x:c>
      <x:c r="J5" s="34" t="n">
        <x:v>18.42</x:v>
      </x:c>
      <x:c r="K5" s="34" t="n">
        <x:v>74.53</x:v>
      </x:c>
      <x:c r="L5" s="34" t="n">
        <x:v>4.05</x:v>
      </x:c>
      <x:c r="M5" s="34" t="n">
        <x:v>504.89191709372034</x:v>
      </x:c>
      <x:c r="N5" s="34" t="n">
        <x:v>24.258764010416332</x:v>
      </x:c>
      <x:c r="O5" s="34" t="n">
        <x:v>1.36527813784204</x:v>
      </x:c>
      <x:c r="P5" s="34" t="n">
        <x:v>22.77083396911621</x:v>
      </x:c>
      <x:c r="Q5" s="12" t="n">
        <x:v>1829</x:v>
      </x:c>
      <x:c r="R5" s="34" t="n">
        <x:v>205.90521620193198</x:v>
      </x:c>
      <x:c r="S5" s="34" t="n">
        <x:v>1349.372578187723</x:v>
      </x:c>
      <x:c r="T5" s="2"/>
      <x:c r="U5" s="2" t="str">
        <x:v>2026-10-14</x:v>
      </x:c>
      <x:c r="V5" s="2"/>
    </x:row>
    <x:row r="6" ht="24" customHeight="1">
      <x:c r="A6" s="2" t="str">
        <x:v>FT5</x:v>
      </x:c>
      <x:c r="B6" s="2" t="str">
        <x:v>SZ</x:v>
      </x:c>
      <x:c r="C6" s="19" t="n">
        <x:v>0.376</x:v>
      </x:c>
      <x:c r="D6" s="19" t="n">
        <x:v>85.81</x:v>
      </x:c>
      <x:c r="E6" s="19" t="n">
        <x:v>174.17</x:v>
      </x:c>
      <x:c r="F6" s="38" t="n">
        <x:v>22.52703766</x:v>
      </x:c>
      <x:c r="G6" s="38" t="n">
        <x:v>114.0071595</x:v>
      </x:c>
      <x:c r="H6" s="11" t="n">
        <x:v>25</x:v>
      </x:c>
      <x:c r="I6" s="19" t="n">
        <x:v>6.52</x:v>
      </x:c>
      <x:c r="J6" s="19" t="n">
        <x:v>18.76</x:v>
      </x:c>
      <x:c r="K6" s="19" t="n">
        <x:v>69.07</x:v>
      </x:c>
      <x:c r="L6" s="19" t="n">
        <x:v>3.68</x:v>
      </x:c>
      <x:c r="M6" s="19" t="n">
        <x:v>487.578592596807</x:v>
      </x:c>
      <x:c r="N6" s="19" t="n">
        <x:v>16.5849539759827</x:v>
      </x:c>
      <x:c r="O6" s="19" t="n">
        <x:v>1.2136199116566317</x:v>
      </x:c>
      <x:c r="P6" s="19" t="n">
        <x:v>22.77083396911621</x:v>
      </x:c>
      <x:c r="Q6" s="11" t="n">
        <x:v>1829</x:v>
      </x:c>
      <x:c r="R6" s="19" t="n">
        <x:v>181.9568556457208</x:v>
      </x:c>
      <x:c r="S6" s="19" t="n">
        <x:v>1276.7469410317326</x:v>
      </x:c>
      <x:c r="T6" s="2"/>
      <x:c r="U6" s="2"/>
      <x:c r="V6" s="2"/>
    </x:row>
    <x:row r="7" ht="24" customHeight="1">
      <x:c r="A7" s="10" t="str">
        <x:v>FT6</x:v>
      </x:c>
      <x:c r="B7" s="10" t="str">
        <x:v>SZ</x:v>
      </x:c>
      <x:c r="C7" s="34" t="n">
        <x:v>0.417</x:v>
      </x:c>
      <x:c r="D7" s="34" t="n">
        <x:v>84.26</x:v>
      </x:c>
      <x:c r="E7" s="34" t="n">
        <x:v>207.17</x:v>
      </x:c>
      <x:c r="F7" s="39" t="n">
        <x:v>22.52681399</x:v>
      </x:c>
      <x:c r="G7" s="39" t="n">
        <x:v>114.0074923</x:v>
      </x:c>
      <x:c r="H7" s="12" t="n">
        <x:v>19</x:v>
      </x:c>
      <x:c r="I7" s="34" t="n">
        <x:v>6.8</x:v>
      </x:c>
      <x:c r="J7" s="34" t="n">
        <x:v>21.19</x:v>
      </x:c>
      <x:c r="K7" s="34" t="n">
        <x:v>99.14</x:v>
      </x:c>
      <x:c r="L7" s="34" t="n">
        <x:v>4.68</x:v>
      </x:c>
      <x:c r="M7" s="34" t="n">
        <x:v>502.77320713284496</x:v>
      </x:c>
      <x:c r="N7" s="34" t="n">
        <x:v>23.752497192399847</x:v>
      </x:c>
      <x:c r="O7" s="34" t="n">
        <x:v>1.027854247992726</x:v>
      </x:c>
      <x:c r="P7" s="34" t="n">
        <x:v>22.77083396911621</x:v>
      </x:c>
      <x:c r="Q7" s="12" t="n">
        <x:v>1829</x:v>
      </x:c>
      <x:c r="R7" s="34" t="n">
        <x:v>157.81169844810273</x:v>
      </x:c>
      <x:c r="S7" s="34" t="n">
        <x:v>1235.9667972476423</x:v>
      </x:c>
      <x:c r="T7" s="2"/>
      <x:c r="U7" s="2" t="str">
        <x:v>143条数据完整保留；未删除异常值或转换原单位。</x:v>
      </x:c>
      <x:c r="V7" s="2"/>
    </x:row>
    <x:row r="8" ht="24" customHeight="1">
      <x:c r="A8" s="2" t="str">
        <x:v>FT7</x:v>
      </x:c>
      <x:c r="B8" s="2" t="str">
        <x:v>SZ</x:v>
      </x:c>
      <x:c r="C8" s="19" t="n">
        <x:v>0.497</x:v>
      </x:c>
      <x:c r="D8" s="19" t="n">
        <x:v>81.25</x:v>
      </x:c>
      <x:c r="E8" s="19" t="n">
        <x:v>159.61</x:v>
      </x:c>
      <x:c r="F8" s="38" t="n">
        <x:v>22.52672865</x:v>
      </x:c>
      <x:c r="G8" s="38" t="n">
        <x:v>114.0069554</x:v>
      </x:c>
      <x:c r="H8" s="11" t="n">
        <x:v>26</x:v>
      </x:c>
      <x:c r="I8" s="19" t="n">
        <x:v>6.56</x:v>
      </x:c>
      <x:c r="J8" s="19" t="n">
        <x:v>17.81</x:v>
      </x:c>
      <x:c r="K8" s="19" t="n">
        <x:v>48.68</x:v>
      </x:c>
      <x:c r="L8" s="19" t="n">
        <x:v>2.73</x:v>
      </x:c>
      <x:c r="M8" s="19" t="n">
        <x:v>463.381090970155</x:v>
      </x:c>
      <x:c r="N8" s="19" t="n">
        <x:v>17.51344382541505</x:v>
      </x:c>
      <x:c r="O8" s="19" t="n">
        <x:v>0.9768028930040384</x:v>
      </x:c>
      <x:c r="P8" s="19" t="n">
        <x:v>22.77083396911621</x:v>
      </x:c>
      <x:c r="Q8" s="11" t="n">
        <x:v>1829</x:v>
      </x:c>
      <x:c r="R8" s="19" t="n">
        <x:v>147.36362619499462</x:v>
      </x:c>
      <x:c r="S8" s="19" t="n">
        <x:v>1284.733824365829</x:v>
      </x:c>
      <x:c r="T8" s="2"/>
      <x:c r="U8" s="2"/>
      <x:c r="V8" s="2"/>
    </x:row>
    <x:row r="9" ht="24" customHeight="1">
      <x:c r="A9" s="10" t="str">
        <x:v>FT8</x:v>
      </x:c>
      <x:c r="B9" s="10" t="str">
        <x:v>SZ</x:v>
      </x:c>
      <x:c r="C9" s="34" t="n">
        <x:v>0.436</x:v>
      </x:c>
      <x:c r="D9" s="34" t="n">
        <x:v>83.55</x:v>
      </x:c>
      <x:c r="E9" s="34" t="n">
        <x:v>142.24</x:v>
      </x:c>
      <x:c r="F9" s="39" t="n">
        <x:v>22.52630012</x:v>
      </x:c>
      <x:c r="G9" s="39" t="n">
        <x:v>114.0080864</x:v>
      </x:c>
      <x:c r="H9" s="12" t="n">
        <x:v>23</x:v>
      </x:c>
      <x:c r="I9" s="34" t="n">
        <x:v>6.58</x:v>
      </x:c>
      <x:c r="J9" s="34" t="n">
        <x:v>20.2</x:v>
      </x:c>
      <x:c r="K9" s="34" t="n">
        <x:v>95.24</x:v>
      </x:c>
      <x:c r="L9" s="34" t="n">
        <x:v>4.71</x:v>
      </x:c>
      <x:c r="M9" s="34" t="n">
        <x:v>478.270163259989</x:v>
      </x:c>
      <x:c r="N9" s="34" t="n">
        <x:v>22.214069630493665</x:v>
      </x:c>
      <x:c r="O9" s="34" t="n">
        <x:v>1.8655753741038599</x:v>
      </x:c>
      <x:c r="P9" s="34" t="n">
        <x:v>22.77083396911621</x:v>
      </x:c>
      <x:c r="Q9" s="12" t="n">
        <x:v>1829</x:v>
      </x:c>
      <x:c r="R9" s="34" t="n">
        <x:v>119.05895045386053</x:v>
      </x:c>
      <x:c r="S9" s="34" t="n">
        <x:v>1159.267244029446</x:v>
      </x:c>
      <x:c r="T9" s="2"/>
      <x:c r="U9" s="2" t="str">
        <x:v>来源文件路径</x:v>
      </x:c>
      <x:c r="V9" s="2"/>
    </x:row>
    <x:row r="10" ht="24" customHeight="1">
      <x:c r="A10" s="2" t="str">
        <x:v>FT9</x:v>
      </x:c>
      <x:c r="B10" s="2" t="str">
        <x:v>SZ</x:v>
      </x:c>
      <x:c r="C10" s="19" t="n">
        <x:v>0.446</x:v>
      </x:c>
      <x:c r="D10" s="19" t="n">
        <x:v>83.17</x:v>
      </x:c>
      <x:c r="E10" s="19" t="n">
        <x:v>151.48</x:v>
      </x:c>
      <x:c r="F10" s="38" t="n">
        <x:v>22.5256315</x:v>
      </x:c>
      <x:c r="G10" s="38" t="n">
        <x:v>114.0092652</x:v>
      </x:c>
      <x:c r="H10" s="11" t="n">
        <x:v>18</x:v>
      </x:c>
      <x:c r="I10" s="19" t="n">
        <x:v>7.04</x:v>
      </x:c>
      <x:c r="J10" s="19" t="n">
        <x:v>18.08</x:v>
      </x:c>
      <x:c r="K10" s="19" t="n">
        <x:v>51.19</x:v>
      </x:c>
      <x:c r="L10" s="19" t="n">
        <x:v>2.83</x:v>
      </x:c>
      <x:c r="M10" s="19" t="n">
        <x:v>483.36038367870833</x:v>
      </x:c>
      <x:c r="N10" s="19" t="n">
        <x:v>24.61842211467773</x:v>
      </x:c>
      <x:c r="O10" s="19" t="n">
        <x:v>1.3195569042818163</x:v>
      </x:c>
      <x:c r="P10" s="19" t="n">
        <x:v>22.77916717529297</x:v>
      </x:c>
      <x:c r="Q10" s="11" t="n">
        <x:v>1845</x:v>
      </x:c>
      <x:c r="R10" s="19" t="n">
        <x:v>120.81202766491964</x:v>
      </x:c>
      <x:c r="S10" s="19" t="n">
        <x:v>1021.0421800262222</x:v>
      </x:c>
      <x:c r="T10" s="2"/>
      <x:c r="U10" s="2" t="str">
        <x:v>D:\Users\Lenovo\Desktop\原始\3.3\3.3.1\模块.xlsx</x:v>
      </x:c>
      <x:c r="V10" s="2"/>
    </x:row>
    <x:row r="11" ht="24" customHeight="1">
      <x:c r="A11" s="10" t="str">
        <x:v>FT10</x:v>
      </x:c>
      <x:c r="B11" s="10" t="str">
        <x:v>SZ</x:v>
      </x:c>
      <x:c r="C11" s="34" t="n">
        <x:v>0.435</x:v>
      </x:c>
      <x:c r="D11" s="34" t="n">
        <x:v>83.58</x:v>
      </x:c>
      <x:c r="E11" s="34" t="n">
        <x:v>160.46</x:v>
      </x:c>
      <x:c r="F11" s="39" t="n">
        <x:v>22.52561099</x:v>
      </x:c>
      <x:c r="G11" s="39" t="n">
        <x:v>114.0093086</x:v>
      </x:c>
      <x:c r="H11" s="12" t="n">
        <x:v>20</x:v>
      </x:c>
      <x:c r="I11" s="34" t="n">
        <x:v>6.84</x:v>
      </x:c>
      <x:c r="J11" s="34" t="n">
        <x:v>19.91</x:v>
      </x:c>
      <x:c r="K11" s="34" t="n">
        <x:v>74.97</x:v>
      </x:c>
      <x:c r="L11" s="34" t="n">
        <x:v>3.77</x:v>
      </x:c>
      <x:c r="M11" s="34" t="n">
        <x:v>484.11920786042566</x:v>
      </x:c>
      <x:c r="N11" s="34" t="n">
        <x:v>14.666676640377867</x:v>
      </x:c>
      <x:c r="O11" s="34" t="n">
        <x:v>1.41855103996372</x:v>
      </x:c>
      <x:c r="P11" s="34" t="n">
        <x:v>22.77916717529297</x:v>
      </x:c>
      <x:c r="Q11" s="12" t="n">
        <x:v>1845</x:v>
      </x:c>
      <x:c r="R11" s="34" t="n">
        <x:v>118.62188856542153</x:v>
      </x:c>
      <x:c r="S11" s="34" t="n">
        <x:v>1016.1068837040975</x:v>
      </x:c>
      <x:c r="T11" s="2"/>
      <x:c r="U11" s="2"/>
      <x:c r="V11" s="2"/>
    </x:row>
    <x:row r="12" ht="24" customHeight="1">
      <x:c r="A12" s="2" t="str">
        <x:v>FT11</x:v>
      </x:c>
      <x:c r="B12" s="2" t="str">
        <x:v>SZ</x:v>
      </x:c>
      <x:c r="C12" s="19" t="n">
        <x:v>0.655</x:v>
      </x:c>
      <x:c r="D12" s="19" t="n">
        <x:v>75.28</x:v>
      </x:c>
      <x:c r="E12" s="19" t="n">
        <x:v>129.09</x:v>
      </x:c>
      <x:c r="F12" s="38" t="n">
        <x:v>22.52532604</x:v>
      </x:c>
      <x:c r="G12" s="38" t="n">
        <x:v>114.0100179</x:v>
      </x:c>
      <x:c r="H12" s="11" t="n">
        <x:v>19</x:v>
      </x:c>
      <x:c r="I12" s="19" t="n">
        <x:v>6.29</x:v>
      </x:c>
      <x:c r="J12" s="19" t="n">
        <x:v>17.55</x:v>
      </x:c>
      <x:c r="K12" s="19" t="n">
        <x:v>34.02</x:v>
      </x:c>
      <x:c r="L12" s="19" t="n">
        <x:v>1.94</x:v>
      </x:c>
      <x:c r="M12" s="19" t="n">
        <x:v>482.79266776815575</x:v>
      </x:c>
      <x:c r="N12" s="19" t="n">
        <x:v>18.343727220508175</x:v>
      </x:c>
      <x:c r="O12" s="19" t="n">
        <x:v>1.169710620942317</x:v>
      </x:c>
      <x:c r="P12" s="19" t="n">
        <x:v>22.77916717529297</x:v>
      </x:c>
      <x:c r="Q12" s="11" t="n">
        <x:v>1845</x:v>
      </x:c>
      <x:c r="R12" s="19" t="n">
        <x:v>88.3920779207743</x:v>
      </x:c>
      <x:c r="S12" s="19" t="n">
        <x:v>937.1281560919969</x:v>
      </x:c>
      <x:c r="T12" s="2"/>
      <x:c r="U12" s="2"/>
      <x:c r="V12" s="2"/>
    </x:row>
    <x:row r="13" ht="24" customHeight="1">
      <x:c r="A13" s="10" t="str">
        <x:v>FT12</x:v>
      </x:c>
      <x:c r="B13" s="10" t="str">
        <x:v>SZ</x:v>
      </x:c>
      <x:c r="C13" s="34" t="n">
        <x:v>0.512</x:v>
      </x:c>
      <x:c r="D13" s="34" t="n">
        <x:v>80.68</x:v>
      </x:c>
      <x:c r="E13" s="34" t="n">
        <x:v>134.95</x:v>
      </x:c>
      <x:c r="F13" s="39" t="n">
        <x:v>22.52495862</x:v>
      </x:c>
      <x:c r="G13" s="39" t="n">
        <x:v>114.0110395</x:v>
      </x:c>
      <x:c r="H13" s="12" t="n">
        <x:v>16</x:v>
      </x:c>
      <x:c r="I13" s="34" t="n">
        <x:v>6.81</x:v>
      </x:c>
      <x:c r="J13" s="34" t="n">
        <x:v>17.98</x:v>
      </x:c>
      <x:c r="K13" s="34" t="n">
        <x:v>38.01</x:v>
      </x:c>
      <x:c r="L13" s="34" t="n">
        <x:v>2.11</x:v>
      </x:c>
      <x:c r="M13" s="34" t="n">
        <x:v>447.13587106361865</x:v>
      </x:c>
      <x:c r="N13" s="34" t="n">
        <x:v>15.255784824570808</x:v>
      </x:c>
      <x:c r="O13" s="34" t="n">
        <x:v>1.5213788235409282</x:v>
      </x:c>
      <x:c r="P13" s="34" t="n">
        <x:v>22.77916717529297</x:v>
      </x:c>
      <x:c r="Q13" s="12" t="n">
        <x:v>1845</x:v>
      </x:c>
      <x:c r="R13" s="34" t="n">
        <x:v>110.80465746968449</x:v>
      </x:c>
      <x:c r="S13" s="34" t="n">
        <x:v>824.8442808784221</x:v>
      </x:c>
      <x:c r="T13" s="2"/>
      <x:c r="U13" s="2"/>
      <x:c r="V13" s="2"/>
    </x:row>
    <x:row r="14" ht="24" customHeight="1">
      <x:c r="A14" s="2" t="str">
        <x:v>FT13</x:v>
      </x:c>
      <x:c r="B14" s="2" t="str">
        <x:v>SZ</x:v>
      </x:c>
      <x:c r="C14" s="19" t="n">
        <x:v>0.718</x:v>
      </x:c>
      <x:c r="D14" s="19" t="n">
        <x:v>72.91</x:v>
      </x:c>
      <x:c r="E14" s="19" t="n">
        <x:v>137.38</x:v>
      </x:c>
      <x:c r="F14" s="38" t="n">
        <x:v>22.52440499</x:v>
      </x:c>
      <x:c r="G14" s="38" t="n">
        <x:v>114.0120672</x:v>
      </x:c>
      <x:c r="H14" s="11" t="n">
        <x:v>22</x:v>
      </x:c>
      <x:c r="I14" s="19" t="n">
        <x:v>6.31</x:v>
      </x:c>
      <x:c r="J14" s="19" t="n">
        <x:v>19.43</x:v>
      </x:c>
      <x:c r="K14" s="19" t="n">
        <x:v>45.93</x:v>
      </x:c>
      <x:c r="L14" s="19" t="n">
        <x:v>2.36</x:v>
      </x:c>
      <x:c r="M14" s="19" t="n">
        <x:v>465.311173223352</x:v>
      </x:c>
      <x:c r="N14" s="19" t="n">
        <x:v>18.89394359186383</x:v>
      </x:c>
      <x:c r="O14" s="19" t="n">
        <x:v>1.4009243483525708</x:v>
      </x:c>
      <x:c r="P14" s="19" t="n">
        <x:v>22.77916717529297</x:v>
      </x:c>
      <x:c r="Q14" s="11" t="n">
        <x:v>1845</x:v>
      </x:c>
      <x:c r="R14" s="19" t="n">
        <x:v>74.84158344462026</x:v>
      </x:c>
      <x:c r="S14" s="19" t="n">
        <x:v>706.996756725183</x:v>
      </x:c>
      <x:c r="T14" s="2"/>
      <x:c r="U14" s="2"/>
      <x:c r="V14" s="2"/>
    </x:row>
    <x:row r="15" ht="24" customHeight="1">
      <x:c r="A15" s="10" t="str">
        <x:v>FT14</x:v>
      </x:c>
      <x:c r="B15" s="10" t="str">
        <x:v>SZ</x:v>
      </x:c>
      <x:c r="C15" s="34" t="n">
        <x:v>0.467</x:v>
      </x:c>
      <x:c r="D15" s="34" t="n">
        <x:v>82.38</x:v>
      </x:c>
      <x:c r="E15" s="34" t="n">
        <x:v>153.45</x:v>
      </x:c>
      <x:c r="F15" s="39" t="n">
        <x:v>22.52423302</x:v>
      </x:c>
      <x:c r="G15" s="39" t="n">
        <x:v>114.0151062</x:v>
      </x:c>
      <x:c r="H15" s="12" t="n">
        <x:v>16</x:v>
      </x:c>
      <x:c r="I15" s="34" t="n">
        <x:v>6.19</x:v>
      </x:c>
      <x:c r="J15" s="34" t="n">
        <x:v>19.05</x:v>
      </x:c>
      <x:c r="K15" s="34" t="n">
        <x:v>37.06</x:v>
      </x:c>
      <x:c r="L15" s="34" t="n">
        <x:v>1.95</x:v>
      </x:c>
      <x:c r="M15" s="34" t="n">
        <x:v>504.03134175560507</x:v>
      </x:c>
      <x:c r="N15" s="34" t="n">
        <x:v>20.309467225698537</x:v>
      </x:c>
      <x:c r="O15" s="34" t="n">
        <x:v>1.724382383430938</x:v>
      </x:c>
      <x:c r="P15" s="34" t="n">
        <x:v>22.77916717529297</x:v>
      </x:c>
      <x:c r="Q15" s="12" t="n">
        <x:v>1845</x:v>
      </x:c>
      <x:c r="R15" s="34" t="n">
        <x:v>150.59105492223003</x:v>
      </x:c>
      <x:c r="S15" s="34" t="n">
        <x:v>402.214022529969</x:v>
      </x:c>
      <x:c r="T15" s="2"/>
      <x:c r="U15" s="2"/>
      <x:c r="V15" s="2"/>
    </x:row>
    <x:row r="16" ht="24" customHeight="1">
      <x:c r="A16" s="2" t="str">
        <x:v>FT15</x:v>
      </x:c>
      <x:c r="B16" s="2" t="str">
        <x:v>SZ</x:v>
      </x:c>
      <x:c r="C16" s="19" t="n">
        <x:v>0.659</x:v>
      </x:c>
      <x:c r="D16" s="19" t="n">
        <x:v>75.13</x:v>
      </x:c>
      <x:c r="E16" s="19" t="n">
        <x:v>130.96</x:v>
      </x:c>
      <x:c r="F16" s="38" t="n">
        <x:v>22.52378595</x:v>
      </x:c>
      <x:c r="G16" s="38" t="n">
        <x:v>114.0132774</x:v>
      </x:c>
      <x:c r="H16" s="11" t="n">
        <x:v>15</x:v>
      </x:c>
      <x:c r="I16" s="19" t="n">
        <x:v>6.55</x:v>
      </x:c>
      <x:c r="J16" s="19" t="n">
        <x:v>18.98</x:v>
      </x:c>
      <x:c r="K16" s="19" t="n">
        <x:v>44.01</x:v>
      </x:c>
      <x:c r="L16" s="19" t="n">
        <x:v>2.32</x:v>
      </x:c>
      <x:c r="M16" s="19" t="n">
        <x:v>483.14797516495275</x:v>
      </x:c>
      <x:c r="N16" s="19" t="n">
        <x:v>14.406182369281</x:v>
      </x:c>
      <x:c r="O16" s="19" t="n">
        <x:v>1.85325799406322</x:v>
      </x:c>
      <x:c r="P16" s="19" t="n">
        <x:v>22.77916717529297</x:v>
      </x:c>
      <x:c r="Q16" s="11" t="n">
        <x:v>1845</x:v>
      </x:c>
      <x:c r="R16" s="19" t="n">
        <x:v>64.21582500341472</x:v>
      </x:c>
      <x:c r="S16" s="19" t="n">
        <x:v>571.1854381978009</x:v>
      </x:c>
      <x:c r="T16" s="2"/>
      <x:c r="U16" s="2"/>
      <x:c r="V16" s="2"/>
    </x:row>
    <x:row r="17" ht="24" customHeight="1">
      <x:c r="A17" s="10" t="str">
        <x:v>FT16</x:v>
      </x:c>
      <x:c r="B17" s="10" t="str">
        <x:v>SZ</x:v>
      </x:c>
      <x:c r="C17" s="34" t="n">
        <x:v>0.455</x:v>
      </x:c>
      <x:c r="D17" s="34" t="n">
        <x:v>82.83</x:v>
      </x:c>
      <x:c r="E17" s="34" t="n">
        <x:v>133.41</x:v>
      </x:c>
      <x:c r="F17" s="39" t="n">
        <x:v>22.52341667</x:v>
      </x:c>
      <x:c r="G17" s="39" t="n">
        <x:v>114.0139673</x:v>
      </x:c>
      <x:c r="H17" s="12" t="n">
        <x:v>16</x:v>
      </x:c>
      <x:c r="I17" s="34" t="n">
        <x:v>6.57</x:v>
      </x:c>
      <x:c r="J17" s="34" t="n">
        <x:v>20.34</x:v>
      </x:c>
      <x:c r="K17" s="34" t="n">
        <x:v>56.88</x:v>
      </x:c>
      <x:c r="L17" s="34" t="n">
        <x:v>2.8</x:v>
      </x:c>
      <x:c r="M17" s="34" t="n">
        <x:v>444.8556213563665</x:v>
      </x:c>
      <x:c r="N17" s="34" t="n">
        <x:v>17.961169414452748</x:v>
      </x:c>
      <x:c r="O17" s="34" t="n">
        <x:v>2.320544554455445</x:v>
      </x:c>
      <x:c r="P17" s="34" t="n">
        <x:v>22.77916717529297</x:v>
      </x:c>
      <x:c r="Q17" s="12" t="n">
        <x:v>1845</x:v>
      </x:c>
      <x:c r="R17" s="34" t="n">
        <x:v>61.05263768910339</x:v>
      </x:c>
      <x:c r="S17" s="34" t="n">
        <x:v>495.1454334225948</x:v>
      </x:c>
      <x:c r="T17" s="2"/>
      <x:c r="U17" s="2"/>
      <x:c r="V17" s="2"/>
    </x:row>
    <x:row r="18" ht="24" customHeight="1">
      <x:c r="A18" s="2" t="str">
        <x:v>FT17</x:v>
      </x:c>
      <x:c r="B18" s="2" t="str">
        <x:v>SZ</x:v>
      </x:c>
      <x:c r="C18" s="19" t="n">
        <x:v>0.528</x:v>
      </x:c>
      <x:c r="D18" s="19" t="n">
        <x:v>80.08</x:v>
      </x:c>
      <x:c r="E18" s="19" t="n">
        <x:v>129.62</x:v>
      </x:c>
      <x:c r="F18" s="38" t="n">
        <x:v>22.5231972</x:v>
      </x:c>
      <x:c r="G18" s="38" t="n">
        <x:v>114.0139859</x:v>
      </x:c>
      <x:c r="H18" s="11" t="n">
        <x:v>12</x:v>
      </x:c>
      <x:c r="I18" s="19" t="n">
        <x:v>5.66</x:v>
      </x:c>
      <x:c r="J18" s="19" t="n">
        <x:v>18.09</x:v>
      </x:c>
      <x:c r="K18" s="19" t="n">
        <x:v>46.46</x:v>
      </x:c>
      <x:c r="L18" s="19" t="n">
        <x:v>2.57</x:v>
      </x:c>
      <x:c r="M18" s="19" t="n">
        <x:v>499.308850450181</x:v>
      </x:c>
      <x:c r="N18" s="19" t="n">
        <x:v>10.8056107539451</x:v>
      </x:c>
      <x:c r="O18" s="19" t="n">
        <x:v>1.25657510227937</x:v>
      </x:c>
      <x:c r="P18" s="19" t="n">
        <x:v>22.77916717529297</x:v>
      </x:c>
      <x:c r="Q18" s="11" t="n">
        <x:v>1845</x:v>
      </x:c>
      <x:c r="R18" s="19" t="n">
        <x:v>36.735708709341026</x:v>
      </x:c>
      <x:c r="S18" s="19" t="n">
        <x:v>491.1102600341592</x:v>
      </x:c>
      <x:c r="T18" s="2"/>
      <x:c r="U18" s="2"/>
      <x:c r="V18" s="2"/>
    </x:row>
    <x:row r="19" ht="24" customHeight="1">
      <x:c r="A19" s="10" t="str">
        <x:v>FT18</x:v>
      </x:c>
      <x:c r="B19" s="10" t="str">
        <x:v>SZ</x:v>
      </x:c>
      <x:c r="C19" s="34" t="n">
        <x:v>0.439</x:v>
      </x:c>
      <x:c r="D19" s="34" t="n">
        <x:v>83.43</x:v>
      </x:c>
      <x:c r="E19" s="34" t="n">
        <x:v>142.87</x:v>
      </x:c>
      <x:c r="F19" s="39" t="n">
        <x:v>22.52295709</x:v>
      </x:c>
      <x:c r="G19" s="39" t="n">
        <x:v>114.0139925</x:v>
      </x:c>
      <x:c r="H19" s="12" t="n">
        <x:v>14</x:v>
      </x:c>
      <x:c r="I19" s="34" t="n">
        <x:v>6.52</x:v>
      </x:c>
      <x:c r="J19" s="34" t="n">
        <x:v>19.31</x:v>
      </x:c>
      <x:c r="K19" s="34" t="n">
        <x:v>90.03</x:v>
      </x:c>
      <x:c r="L19" s="34" t="n">
        <x:v>4.66</x:v>
      </x:c>
      <x:c r="M19" s="34" t="n">
        <x:v>507.11152148765603</x:v>
      </x:c>
      <x:c r="N19" s="34" t="n">
        <x:v>12.1719725155019</x:v>
      </x:c>
      <x:c r="O19" s="34" t="n">
        <x:v>1.149752208575737</x:v>
      </x:c>
      <x:c r="P19" s="34" t="n">
        <x:v>22.77916717529297</x:v>
      </x:c>
      <x:c r="Q19" s="12" t="n">
        <x:v>1845</x:v>
      </x:c>
      <x:c r="R19" s="34" t="n">
        <x:v>10.142284302970156</x:v>
      </x:c>
      <x:c r="S19" s="34" t="n">
        <x:v>489.4686287003894</x:v>
      </x:c>
      <x:c r="T19" s="2"/>
      <x:c r="U19" s="2"/>
      <x:c r="V19" s="2"/>
    </x:row>
    <x:row r="20" ht="24" customHeight="1">
      <x:c r="A20" s="2" t="str">
        <x:v>FT19</x:v>
      </x:c>
      <x:c r="B20" s="2" t="str">
        <x:v>SZ</x:v>
      </x:c>
      <x:c r="C20" s="19" t="n">
        <x:v>0.334</x:v>
      </x:c>
      <x:c r="D20" s="19" t="n">
        <x:v>87.4</x:v>
      </x:c>
      <x:c r="E20" s="19" t="n">
        <x:v>165.87</x:v>
      </x:c>
      <x:c r="F20" s="38" t="n">
        <x:v>22.52259642</x:v>
      </x:c>
      <x:c r="G20" s="38" t="n">
        <x:v>114.0172482</x:v>
      </x:c>
      <x:c r="H20" s="11" t="n">
        <x:v>20</x:v>
      </x:c>
      <x:c r="I20" s="19" t="n">
        <x:v>7</x:v>
      </x:c>
      <x:c r="J20" s="19" t="n">
        <x:v>21.01</x:v>
      </x:c>
      <x:c r="K20" s="19" t="n">
        <x:v>78.49</x:v>
      </x:c>
      <x:c r="L20" s="19" t="n">
        <x:v>3.74</x:v>
      </x:c>
      <x:c r="M20" s="19" t="n">
        <x:v>424.941138018485</x:v>
      </x:c>
      <x:c r="N20" s="19" t="n">
        <x:v>23.7723214285714</x:v>
      </x:c>
      <x:c r="O20" s="19" t="n">
        <x:v>2.89540816326531</x:v>
      </x:c>
      <x:c r="P20" s="19" t="n">
        <x:v>22.766666412353516</x:v>
      </x:c>
      <x:c r="Q20" s="11" t="n">
        <x:v>1856</x:v>
      </x:c>
      <x:c r="R20" s="19" t="n">
        <x:v>32.2512678389854</x:v>
      </x:c>
      <x:c r="S20" s="19" t="n">
        <x:v>158.5219937290054</x:v>
      </x:c>
      <x:c r="T20" s="2"/>
      <x:c r="U20" s="2"/>
      <x:c r="V20" s="2"/>
    </x:row>
    <x:row r="21" ht="24" customHeight="1">
      <x:c r="A21" s="10" t="str">
        <x:v>FT20</x:v>
      </x:c>
      <x:c r="B21" s="10" t="str">
        <x:v>SZ</x:v>
      </x:c>
      <x:c r="C21" s="34" t="n">
        <x:v>0.505</x:v>
      </x:c>
      <x:c r="D21" s="34" t="n">
        <x:v>80.94</x:v>
      </x:c>
      <x:c r="E21" s="34" t="n">
        <x:v>136.25</x:v>
      </x:c>
      <x:c r="F21" s="39" t="n">
        <x:v>22.52245402</x:v>
      </x:c>
      <x:c r="G21" s="39" t="n">
        <x:v>114.0175972</x:v>
      </x:c>
      <x:c r="H21" s="12" t="n">
        <x:v>15</x:v>
      </x:c>
      <x:c r="I21" s="34" t="n">
        <x:v>6.6</x:v>
      </x:c>
      <x:c r="J21" s="34" t="n">
        <x:v>17.15</x:v>
      </x:c>
      <x:c r="K21" s="34" t="n">
        <x:v>35.2</x:v>
      </x:c>
      <x:c r="L21" s="34" t="n">
        <x:v>2.05</x:v>
      </x:c>
      <x:c r="M21" s="34" t="n">
        <x:v>492.726670902681</x:v>
      </x:c>
      <x:c r="N21" s="34" t="n">
        <x:v>18.263944534123702</x:v>
      </x:c>
      <x:c r="O21" s="34" t="n">
        <x:v>0.9154915600672229</x:v>
      </x:c>
      <x:c r="P21" s="34" t="n">
        <x:v>22.766666412353516</x:v>
      </x:c>
      <x:c r="Q21" s="12" t="n">
        <x:v>1856</x:v>
      </x:c>
      <x:c r="R21" s="34" t="n">
        <x:v>22.722419808598953</x:v>
      </x:c>
      <x:c r="S21" s="34" t="n">
        <x:v>129.19200979962866</x:v>
      </x:c>
      <x:c r="T21" s="2"/>
      <x:c r="U21" s="2"/>
      <x:c r="V21" s="2"/>
    </x:row>
    <x:row r="22" ht="24" customHeight="1">
      <x:c r="A22" s="2" t="str">
        <x:v>FT21</x:v>
      </x:c>
      <x:c r="B22" s="2" t="str">
        <x:v>SZ</x:v>
      </x:c>
      <x:c r="C22" s="19" t="n">
        <x:v>0.43</x:v>
      </x:c>
      <x:c r="D22" s="19" t="n">
        <x:v>83.77</x:v>
      </x:c>
      <x:c r="E22" s="19" t="n">
        <x:v>141.34</x:v>
      </x:c>
      <x:c r="F22" s="38" t="n">
        <x:v>22.52245114</x:v>
      </x:c>
      <x:c r="G22" s="38" t="n">
        <x:v>114.0178885</x:v>
      </x:c>
      <x:c r="H22" s="11" t="n">
        <x:v>14</x:v>
      </x:c>
      <x:c r="I22" s="19" t="n">
        <x:v>6.74</x:v>
      </x:c>
      <x:c r="J22" s="19" t="n">
        <x:v>17.54</x:v>
      </x:c>
      <x:c r="K22" s="19" t="n">
        <x:v>36.24</x:v>
      </x:c>
      <x:c r="L22" s="19" t="n">
        <x:v>2.07</x:v>
      </x:c>
      <x:c r="M22" s="19" t="n">
        <x:v>457.1751366033843</x:v>
      </x:c>
      <x:c r="N22" s="19" t="n">
        <x:v>20.53038639228973</x:v>
      </x:c>
      <x:c r="O22" s="19" t="n">
        <x:v>0.573664599973327</x:v>
      </x:c>
      <x:c r="P22" s="19" t="n">
        <x:v>22.766666412353516</x:v>
      </x:c>
      <x:c r="Q22" s="11" t="n">
        <x:v>1856</x:v>
      </x:c>
      <x:c r="R22" s="19" t="n">
        <x:v>1.6655459000747859</x:v>
      </x:c>
      <x:c r="S22" s="19" t="n">
        <x:v>102.53253502823341</x:v>
      </x:c>
      <x:c r="T22" s="2"/>
      <x:c r="U22" s="2"/>
      <x:c r="V22" s="2"/>
    </x:row>
    <x:row r="23" ht="24" customHeight="1">
      <x:c r="A23" s="10" t="str">
        <x:v>FT22</x:v>
      </x:c>
      <x:c r="B23" s="10" t="str">
        <x:v>SZ</x:v>
      </x:c>
      <x:c r="C23" s="34" t="n">
        <x:v>0.542</x:v>
      </x:c>
      <x:c r="D23" s="34" t="n">
        <x:v>79.55</x:v>
      </x:c>
      <x:c r="E23" s="34" t="n">
        <x:v>160.03</x:v>
      </x:c>
      <x:c r="F23" s="39" t="n">
        <x:v>22.52237598</x:v>
      </x:c>
      <x:c r="G23" s="39" t="n">
        <x:v>114.01843</x:v>
      </x:c>
      <x:c r="H23" s="12" t="n">
        <x:v>20</x:v>
      </x:c>
      <x:c r="I23" s="34" t="n">
        <x:v>6.92</x:v>
      </x:c>
      <x:c r="J23" s="34" t="n">
        <x:v>22.61</x:v>
      </x:c>
      <x:c r="K23" s="34" t="n">
        <x:v>55.3</x:v>
      </x:c>
      <x:c r="L23" s="34" t="n">
        <x:v>2.45</x:v>
      </x:c>
      <x:c r="M23" s="34" t="n">
        <x:v>484.33640003407504</x:v>
      </x:c>
      <x:c r="N23" s="34" t="n">
        <x:v>19.2222607822619</x:v>
      </x:c>
      <x:c r="O23" s="34" t="n">
        <x:v>0.7491754930892756</x:v>
      </x:c>
      <x:c r="P23" s="34" t="n">
        <x:v>22.766666412353516</x:v>
      </x:c>
      <x:c r="Q23" s="12" t="n">
        <x:v>1856</x:v>
      </x:c>
      <x:c r="R23" s="34" t="n">
        <x:v>32.03471192742404</x:v>
      </x:c>
      <x:c r="S23" s="34" t="n">
        <x:v>68.32821238541732</x:v>
      </x:c>
      <x:c r="T23" s="2"/>
      <x:c r="U23" s="2"/>
      <x:c r="V23" s="2"/>
    </x:row>
    <x:row r="24" ht="24" customHeight="1">
      <x:c r="A24" s="2" t="str">
        <x:v>FT23</x:v>
      </x:c>
      <x:c r="B24" s="2" t="str">
        <x:v>SZ</x:v>
      </x:c>
      <x:c r="C24" s="19" t="n">
        <x:v>0.412</x:v>
      </x:c>
      <x:c r="D24" s="19" t="n">
        <x:v>84.45</x:v>
      </x:c>
      <x:c r="E24" s="19" t="n">
        <x:v>141.49</x:v>
      </x:c>
      <x:c r="F24" s="38" t="n">
        <x:v>22.52234064</x:v>
      </x:c>
      <x:c r="G24" s="38" t="n">
        <x:v>114.0186844</x:v>
      </x:c>
      <x:c r="H24" s="11" t="n">
        <x:v>16</x:v>
      </x:c>
      <x:c r="I24" s="19" t="n">
        <x:v>7.18</x:v>
      </x:c>
      <x:c r="J24" s="19" t="n">
        <x:v>21.85</x:v>
      </x:c>
      <x:c r="K24" s="19" t="n">
        <x:v>97.37</x:v>
      </x:c>
      <x:c r="L24" s="19" t="n">
        <x:v>4.46</x:v>
      </x:c>
      <x:c r="M24" s="19" t="n">
        <x:v>499.8193068052977</x:v>
      </x:c>
      <x:c r="N24" s="19" t="n">
        <x:v>19.653721984578368</x:v>
      </x:c>
      <x:c r="O24" s="19" t="n">
        <x:v>0.6974348065208321</x:v>
      </x:c>
      <x:c r="P24" s="19" t="n">
        <x:v>22.766666412353516</x:v>
      </x:c>
      <x:c r="Q24" s="11" t="n">
        <x:v>1856</x:v>
      </x:c>
      <x:c r="R24" s="19" t="n">
        <x:v>31.706868220267744</x:v>
      </x:c>
      <x:c r="S24" s="19" t="n">
        <x:v>64.14372190623178</x:v>
      </x:c>
      <x:c r="T24" s="2"/>
      <x:c r="U24" s="2"/>
      <x:c r="V24" s="2"/>
    </x:row>
    <x:row r="25" ht="24" customHeight="1">
      <x:c r="A25" s="10" t="str">
        <x:v>GQ1</x:v>
      </x:c>
      <x:c r="B25" s="10" t="str">
        <x:v>GQ</x:v>
      </x:c>
      <x:c r="C25" s="34" t="n">
        <x:v>0.557</x:v>
      </x:c>
      <x:c r="D25" s="34" t="n">
        <x:v>78.98</x:v>
      </x:c>
      <x:c r="E25" s="34" t="n">
        <x:v>140.53</x:v>
      </x:c>
      <x:c r="F25" s="39" t="n">
        <x:v>21.440248265</x:v>
      </x:c>
      <x:c r="G25" s="39" t="n">
        <x:v>109.94350929</x:v>
      </x:c>
      <x:c r="H25" s="12" t="n">
        <x:v>25</x:v>
      </x:c>
      <x:c r="I25" s="34" t="n">
        <x:v>6.39</x:v>
      </x:c>
      <x:c r="J25" s="34" t="n">
        <x:v>21.99</x:v>
      </x:c>
      <x:c r="K25" s="34" t="n">
        <x:v>69.48</x:v>
      </x:c>
      <x:c r="L25" s="34" t="n">
        <x:v>3.16</x:v>
      </x:c>
      <x:c r="M25" s="34" t="n">
        <x:v>439.94126420333</x:v>
      </x:c>
      <x:c r="N25" s="34" t="n">
        <x:v>14.453501641435</x:v>
      </x:c>
      <x:c r="O25" s="34" t="n">
        <x:v>2.146470940732825</x:v>
      </x:c>
      <x:c r="P25" s="34" t="n">
        <x:v>22.987499237060547</x:v>
      </x:c>
      <x:c r="Q25" s="12" t="n">
        <x:v>1661</x:v>
      </x:c>
      <x:c r="R25" s="34" t="n">
        <x:v>257.30456644157647</x:v>
      </x:c>
      <x:c r="S25" s="34" t="n">
        <x:v>3204.814058389941</x:v>
      </x:c>
      <x:c r="T25" s="2"/>
      <x:c r="U25" s="2"/>
      <x:c r="V25" s="2"/>
    </x:row>
    <x:row r="26" ht="24" customHeight="1">
      <x:c r="A26" s="2" t="str">
        <x:v>GQ2</x:v>
      </x:c>
      <x:c r="B26" s="2" t="str">
        <x:v>GQ</x:v>
      </x:c>
      <x:c r="C26" s="19" t="n">
        <x:v>0.45</x:v>
      </x:c>
      <x:c r="D26" s="19" t="n">
        <x:v>83.02</x:v>
      </x:c>
      <x:c r="E26" s="19" t="n">
        <x:v>144.39</x:v>
      </x:c>
      <x:c r="F26" s="38" t="n">
        <x:v>21.4410874320001</x:v>
      </x:c>
      <x:c r="G26" s="38" t="n">
        <x:v>109.944322775</x:v>
      </x:c>
      <x:c r="H26" s="11" t="n">
        <x:v>25</x:v>
      </x:c>
      <x:c r="I26" s="19" t="n">
        <x:v>6.49</x:v>
      </x:c>
      <x:c r="J26" s="19" t="n">
        <x:v>24.54</x:v>
      </x:c>
      <x:c r="K26" s="19" t="n">
        <x:v>96.12</x:v>
      </x:c>
      <x:c r="L26" s="19" t="n">
        <x:v>3.92</x:v>
      </x:c>
      <x:c r="M26" s="19" t="n">
        <x:v>483.32475994513</x:v>
      </x:c>
      <x:c r="N26" s="19" t="n">
        <x:v>13.7630769230769</x:v>
      </x:c>
      <x:c r="O26" s="19" t="n">
        <x:v>1.95112179487179</x:v>
      </x:c>
      <x:c r="P26" s="19" t="n">
        <x:v>22.987499237060547</x:v>
      </x:c>
      <x:c r="Q26" s="11" t="n">
        <x:v>1661</x:v>
      </x:c>
      <x:c r="R26" s="19" t="n">
        <x:v>278.88431038506627</x:v>
      </x:c>
      <x:c r="S26" s="19" t="n">
        <x:v>3328.073875116023</x:v>
      </x:c>
      <x:c r="T26" s="2"/>
      <x:c r="U26" s="2"/>
      <x:c r="V26" s="2"/>
    </x:row>
    <x:row r="27" ht="24" customHeight="1">
      <x:c r="A27" s="10" t="str">
        <x:v>GQ3</x:v>
      </x:c>
      <x:c r="B27" s="10" t="str">
        <x:v>GQ</x:v>
      </x:c>
      <x:c r="C27" s="34" t="n">
        <x:v>1.034</x:v>
      </x:c>
      <x:c r="D27" s="34" t="n">
        <x:v>60.99</x:v>
      </x:c>
      <x:c r="E27" s="34" t="n">
        <x:v>44.14</x:v>
      </x:c>
      <x:c r="F27" s="39" t="n">
        <x:v>21.442081338</x:v>
      </x:c>
      <x:c r="G27" s="39" t="n">
        <x:v>109.94565109</x:v>
      </x:c>
      <x:c r="H27" s="12" t="n">
        <x:v>25</x:v>
      </x:c>
      <x:c r="I27" s="34" t="n">
        <x:v>6.32</x:v>
      </x:c>
      <x:c r="J27" s="34" t="n">
        <x:v>17.95</x:v>
      </x:c>
      <x:c r="K27" s="34" t="n">
        <x:v>62</x:v>
      </x:c>
      <x:c r="L27" s="34" t="n">
        <x:v>3.45</x:v>
      </x:c>
      <x:c r="M27" s="34" t="n">
        <x:v>488.86889152914904</x:v>
      </x:c>
      <x:c r="N27" s="34" t="n">
        <x:v>17.0838362266927</x:v>
      </x:c>
      <x:c r="O27" s="34" t="n">
        <x:v>1.7428330201117468</x:v>
      </x:c>
      <x:c r="P27" s="34" t="n">
        <x:v>22.95833396911621</x:v>
      </x:c>
      <x:c r="Q27" s="12" t="n">
        <x:v>1662</x:v>
      </x:c>
      <x:c r="R27" s="34" t="n">
        <x:v>239.93810385331207</x:v>
      </x:c>
      <x:c r="S27" s="34" t="n">
        <x:v>3504.2882264463424</x:v>
      </x:c>
      <x:c r="T27" s="2"/>
      <x:c r="U27" s="2"/>
      <x:c r="V27" s="2"/>
    </x:row>
    <x:row r="28" ht="24" customHeight="1">
      <x:c r="A28" s="2" t="str">
        <x:v>GQ4</x:v>
      </x:c>
      <x:c r="B28" s="2" t="str">
        <x:v>GQ</x:v>
      </x:c>
      <x:c r="C28" s="19" t="n">
        <x:v>0.863</x:v>
      </x:c>
      <x:c r="D28" s="19" t="n">
        <x:v>67.43</x:v>
      </x:c>
      <x:c r="E28" s="19" t="n">
        <x:v>73.77</x:v>
      </x:c>
      <x:c r="F28" s="38" t="n">
        <x:v>21.442494104</x:v>
      </x:c>
      <x:c r="G28" s="38" t="n">
        <x:v>109.946482086</x:v>
      </x:c>
      <x:c r="H28" s="11" t="n">
        <x:v>25</x:v>
      </x:c>
      <x:c r="I28" s="19" t="n">
        <x:v>6.37</x:v>
      </x:c>
      <x:c r="J28" s="19" t="n">
        <x:v>18.2</x:v>
      </x:c>
      <x:c r="K28" s="19" t="n">
        <x:v>40.57</x:v>
      </x:c>
      <x:c r="L28" s="19" t="n">
        <x:v>2.23</x:v>
      </x:c>
      <x:c r="M28" s="19" t="n">
        <x:v>455.439234660726</x:v>
      </x:c>
      <x:c r="N28" s="19" t="n">
        <x:v>22.3750801622561</x:v>
      </x:c>
      <x:c r="O28" s="19" t="n">
        <x:v>2.570117828858415</x:v>
      </x:c>
      <x:c r="P28" s="19" t="n">
        <x:v>22.95833396911621</x:v>
      </x:c>
      <x:c r="Q28" s="11" t="n">
        <x:v>1662</x:v>
      </x:c>
      <x:c r="R28" s="19" t="n">
        <x:v>176.31999167957593</x:v>
      </x:c>
      <x:c r="S28" s="19" t="n">
        <x:v>3600.5520399584816</x:v>
      </x:c>
      <x:c r="T28" s="2"/>
      <x:c r="U28" s="2"/>
      <x:c r="V28" s="2"/>
    </x:row>
    <x:row r="29" ht="24" customHeight="1">
      <x:c r="A29" s="10" t="str">
        <x:v>GQ5</x:v>
      </x:c>
      <x:c r="B29" s="10" t="str">
        <x:v>GQ</x:v>
      </x:c>
      <x:c r="C29" s="34" t="n">
        <x:v>0.605</x:v>
      </x:c>
      <x:c r="D29" s="34" t="n">
        <x:v>77.16</x:v>
      </x:c>
      <x:c r="E29" s="34" t="n">
        <x:v>126.33</x:v>
      </x:c>
      <x:c r="F29" s="39" t="n">
        <x:v>21.4427529640001</x:v>
      </x:c>
      <x:c r="G29" s="39" t="n">
        <x:v>109.94749361</x:v>
      </x:c>
      <x:c r="H29" s="12" t="n">
        <x:v>25</x:v>
      </x:c>
      <x:c r="I29" s="34" t="n">
        <x:v>6.62</x:v>
      </x:c>
      <x:c r="J29" s="34" t="n">
        <x:v>19.75</x:v>
      </x:c>
      <x:c r="K29" s="34" t="n">
        <x:v>44.82</x:v>
      </x:c>
      <x:c r="L29" s="34" t="n">
        <x:v>2.27</x:v>
      </x:c>
      <x:c r="M29" s="34" t="n">
        <x:v>485.2916373956</x:v>
      </x:c>
      <x:c r="N29" s="34" t="n">
        <x:v>16.516918183589667</x:v>
      </x:c>
      <x:c r="O29" s="34" t="n">
        <x:v>1.7087392910476369</x:v>
      </x:c>
      <x:c r="P29" s="34" t="n">
        <x:v>22.95833396911621</x:v>
      </x:c>
      <x:c r="Q29" s="12" t="n">
        <x:v>1662</x:v>
      </x:c>
      <x:c r="R29" s="34" t="n">
        <x:v>114.26284366066596</x:v>
      </x:c>
      <x:c r="S29" s="34" t="n">
        <x:v>3701.751449274989</x:v>
      </x:c>
      <x:c r="T29" s="2"/>
      <x:c r="U29" s="2"/>
      <x:c r="V29" s="2"/>
    </x:row>
    <x:row r="30" ht="24" customHeight="1">
      <x:c r="A30" s="2" t="str">
        <x:v>GQ6</x:v>
      </x:c>
      <x:c r="B30" s="2" t="str">
        <x:v>GQ</x:v>
      </x:c>
      <x:c r="C30" s="19" t="n">
        <x:v>0.453</x:v>
      </x:c>
      <x:c r="D30" s="19" t="n">
        <x:v>82.91</x:v>
      </x:c>
      <x:c r="E30" s="19" t="n">
        <x:v>171.52</x:v>
      </x:c>
      <x:c r="F30" s="38" t="n">
        <x:v>21.443070848</x:v>
      </x:c>
      <x:c r="G30" s="38" t="n">
        <x:v>109.949332985</x:v>
      </x:c>
      <x:c r="H30" s="11" t="n">
        <x:v>25</x:v>
      </x:c>
      <x:c r="I30" s="19" t="n">
        <x:v>6.06</x:v>
      </x:c>
      <x:c r="J30" s="19" t="n">
        <x:v>23.22</x:v>
      </x:c>
      <x:c r="K30" s="19" t="n">
        <x:v>80.6</x:v>
      </x:c>
      <x:c r="L30" s="19" t="n">
        <x:v>3.47</x:v>
      </x:c>
      <x:c r="M30" s="19" t="n">
        <x:v>507.869453871292</x:v>
      </x:c>
      <x:c r="N30" s="19" t="n">
        <x:v>18.93959623218955</x:v>
      </x:c>
      <x:c r="O30" s="19" t="n">
        <x:v>1.9014430917305551</x:v>
      </x:c>
      <x:c r="P30" s="19" t="n">
        <x:v>22.95833396911621</x:v>
      </x:c>
      <x:c r="Q30" s="11" t="n">
        <x:v>1662</x:v>
      </x:c>
      <x:c r="R30" s="19" t="n">
        <x:v>63.3365521857446</x:v>
      </x:c>
      <x:c r="S30" s="19" t="n">
        <x:v>3877.055790400261</x:v>
      </x:c>
      <x:c r="T30" s="2"/>
      <x:c r="U30" s="2"/>
      <x:c r="V30" s="2"/>
    </x:row>
    <x:row r="31" ht="24" customHeight="1">
      <x:c r="A31" s="10" t="str">
        <x:v>GQ7</x:v>
      </x:c>
      <x:c r="B31" s="10" t="str">
        <x:v>GQ</x:v>
      </x:c>
      <x:c r="C31" s="34" t="n">
        <x:v>0.475</x:v>
      </x:c>
      <x:c r="D31" s="34" t="n">
        <x:v>82.08</x:v>
      </x:c>
      <x:c r="E31" s="34" t="n">
        <x:v>156.95</x:v>
      </x:c>
      <x:c r="F31" s="39" t="n">
        <x:v>21.4432166120001</x:v>
      </x:c>
      <x:c r="G31" s="39" t="n">
        <x:v>109.948068455</x:v>
      </x:c>
      <x:c r="H31" s="12" t="n">
        <x:v>25</x:v>
      </x:c>
      <x:c r="I31" s="34" t="n">
        <x:v>6.26</x:v>
      </x:c>
      <x:c r="J31" s="34" t="n">
        <x:v>22.14</x:v>
      </x:c>
      <x:c r="K31" s="34" t="n">
        <x:v>60.22</x:v>
      </x:c>
      <x:c r="L31" s="34" t="n">
        <x:v>2.72</x:v>
      </x:c>
      <x:c r="M31" s="34" t="n">
        <x:v>513.913611674684</x:v>
      </x:c>
      <x:c r="N31" s="34" t="n">
        <x:v>14.1913295104598</x:v>
      </x:c>
      <x:c r="O31" s="34" t="n">
        <x:v>1.445832195573355</x:v>
      </x:c>
      <x:c r="P31" s="34" t="n">
        <x:v>22.95833396911621</x:v>
      </x:c>
      <x:c r="Q31" s="12" t="n">
        <x:v>1662</x:v>
      </x:c>
      <x:c r="R31" s="34" t="n">
        <x:v>67.74205521600219</x:v>
      </x:c>
      <x:c r="S31" s="34" t="n">
        <x:v>3780.1862181614597</x:v>
      </x:c>
      <x:c r="T31" s="2"/>
      <x:c r="U31" s="2"/>
      <x:c r="V31" s="2"/>
    </x:row>
    <x:row r="32" ht="24" customHeight="1">
      <x:c r="A32" s="2" t="str">
        <x:v>GQ8</x:v>
      </x:c>
      <x:c r="B32" s="2" t="str">
        <x:v>GQ</x:v>
      </x:c>
      <x:c r="C32" s="19" t="n">
        <x:v>0.762</x:v>
      </x:c>
      <x:c r="D32" s="19" t="n">
        <x:v>71.26</x:v>
      </x:c>
      <x:c r="E32" s="19" t="n">
        <x:v>77.26</x:v>
      </x:c>
      <x:c r="F32" s="38" t="n">
        <x:v>21.443751665</x:v>
      </x:c>
      <x:c r="G32" s="38" t="n">
        <x:v>109.949799301</x:v>
      </x:c>
      <x:c r="H32" s="11" t="n">
        <x:v>26</x:v>
      </x:c>
      <x:c r="I32" s="19" t="n">
        <x:v>6.5</x:v>
      </x:c>
      <x:c r="J32" s="19" t="n">
        <x:v>16.2</x:v>
      </x:c>
      <x:c r="K32" s="19" t="n">
        <x:v>36.05</x:v>
      </x:c>
      <x:c r="L32" s="19" t="n">
        <x:v>2.23</x:v>
      </x:c>
      <x:c r="M32" s="19" t="n">
        <x:v>481.5986000881835</x:v>
      </x:c>
      <x:c r="N32" s="19" t="n">
        <x:v>22.392384380940598</x:v>
      </x:c>
      <x:c r="O32" s="19" t="n">
        <x:v>2.469753384558495</x:v>
      </x:c>
      <x:c r="P32" s="19" t="n">
        <x:v>22.95833396911621</x:v>
      </x:c>
      <x:c r="Q32" s="11" t="n">
        <x:v>1662</x:v>
      </x:c>
      <x:c r="R32" s="19" t="n">
        <x:v>46.82795466288575</x:v>
      </x:c>
      <x:c r="S32" s="19" t="n">
        <x:v>3960.1123603063184</x:v>
      </x:c>
      <x:c r="T32" s="2"/>
      <x:c r="U32" s="2"/>
      <x:c r="V32" s="2"/>
    </x:row>
    <x:row r="33" ht="24" customHeight="1">
      <x:c r="A33" s="10" t="str">
        <x:v>GQ9</x:v>
      </x:c>
      <x:c r="B33" s="10" t="str">
        <x:v>GQ</x:v>
      </x:c>
      <x:c r="C33" s="34" t="n">
        <x:v>0.524</x:v>
      </x:c>
      <x:c r="D33" s="34" t="n">
        <x:v>80.24</x:v>
      </x:c>
      <x:c r="E33" s="34" t="n">
        <x:v>148.23</x:v>
      </x:c>
      <x:c r="F33" s="39" t="n">
        <x:v>21.445997751</x:v>
      </x:c>
      <x:c r="G33" s="39" t="n">
        <x:v>109.911007401</x:v>
      </x:c>
      <x:c r="H33" s="12" t="n">
        <x:v>25</x:v>
      </x:c>
      <x:c r="I33" s="34" t="n">
        <x:v>6.34</x:v>
      </x:c>
      <x:c r="J33" s="34" t="n">
        <x:v>22.93</x:v>
      </x:c>
      <x:c r="K33" s="34" t="n">
        <x:v>76.16</x:v>
      </x:c>
      <x:c r="L33" s="34" t="n">
        <x:v>3.32</x:v>
      </x:c>
      <x:c r="M33" s="34" t="n">
        <x:v>516.1840167897325</x:v>
      </x:c>
      <x:c r="N33" s="34" t="n">
        <x:v>15.81899387690505</x:v>
      </x:c>
      <x:c r="O33" s="34" t="n">
        <x:v>1.99991933775134</x:v>
      </x:c>
      <x:c r="P33" s="34" t="n">
        <x:v>22.929166793823242</x:v>
      </x:c>
      <x:c r="Q33" s="12" t="n">
        <x:v>1639</x:v>
      </x:c>
      <x:c r="R33" s="34" t="n">
        <x:v>545.1791246405967</x:v>
      </x:c>
      <x:c r="S33" s="34" t="n">
        <x:v>2116.1080749254847</x:v>
      </x:c>
      <x:c r="T33" s="2"/>
      <x:c r="U33" s="2"/>
      <x:c r="V33" s="2"/>
    </x:row>
    <x:row r="34" ht="24" customHeight="1">
      <x:c r="A34" s="2" t="str">
        <x:v>GQ10</x:v>
      </x:c>
      <x:c r="B34" s="2" t="str">
        <x:v>GQ</x:v>
      </x:c>
      <x:c r="C34" s="19" t="n">
        <x:v>0.596</x:v>
      </x:c>
      <x:c r="D34" s="19" t="n">
        <x:v>77.52</x:v>
      </x:c>
      <x:c r="E34" s="19" t="n">
        <x:v>136.7</x:v>
      </x:c>
      <x:c r="F34" s="38" t="n">
        <x:v>21.448830963</x:v>
      </x:c>
      <x:c r="G34" s="38" t="n">
        <x:v>109.910241812</x:v>
      </x:c>
      <x:c r="H34" s="11" t="n">
        <x:v>21</x:v>
      </x:c>
      <x:c r="I34" s="19" t="n">
        <x:v>6.14</x:v>
      </x:c>
      <x:c r="J34" s="19" t="n">
        <x:v>22.46</x:v>
      </x:c>
      <x:c r="K34" s="19" t="n">
        <x:v>52.57</x:v>
      </x:c>
      <x:c r="L34" s="19" t="n">
        <x:v>2.34</x:v>
      </x:c>
      <x:c r="M34" s="19" t="n">
        <x:v>474.0977201299155</x:v>
      </x:c>
      <x:c r="N34" s="19" t="n">
        <x:v>18.94630952807175</x:v>
      </x:c>
      <x:c r="O34" s="19" t="n">
        <x:v>2.853948944154655</x:v>
      </x:c>
      <x:c r="P34" s="19" t="n">
        <x:v>22.929166793823242</x:v>
      </x:c>
      <x:c r="Q34" s="11" t="n">
        <x:v>1639</x:v>
      </x:c>
      <x:c r="R34" s="19" t="n">
        <x:v>385.3378130043316</x:v>
      </x:c>
      <x:c r="S34" s="19" t="n">
        <x:v>1792.5546169860565</x:v>
      </x:c>
      <x:c r="T34" s="2"/>
      <x:c r="U34" s="2"/>
      <x:c r="V34" s="2"/>
    </x:row>
    <x:row r="35" ht="24" customHeight="1">
      <x:c r="A35" s="10" t="str">
        <x:v>GQ11</x:v>
      </x:c>
      <x:c r="B35" s="10" t="str">
        <x:v>GQ</x:v>
      </x:c>
      <x:c r="C35" s="34" t="n">
        <x:v>0.511</x:v>
      </x:c>
      <x:c r="D35" s="34" t="n">
        <x:v>80.72</x:v>
      </x:c>
      <x:c r="E35" s="34" t="n">
        <x:v>136.88</x:v>
      </x:c>
      <x:c r="F35" s="39" t="n">
        <x:v>21.452555209</x:v>
      </x:c>
      <x:c r="G35" s="39" t="n">
        <x:v>109.90940199</x:v>
      </x:c>
      <x:c r="H35" s="12" t="n">
        <x:v>25</x:v>
      </x:c>
      <x:c r="I35" s="34" t="n">
        <x:v>6.27</x:v>
      </x:c>
      <x:c r="J35" s="34" t="n">
        <x:v>21.55</x:v>
      </x:c>
      <x:c r="K35" s="34" t="n">
        <x:v>57.94</x:v>
      </x:c>
      <x:c r="L35" s="34" t="n">
        <x:v>2.69</x:v>
      </x:c>
      <x:c r="M35" s="34" t="n">
        <x:v>501.456093189964</x:v>
      </x:c>
      <x:c r="N35" s="34" t="n">
        <x:v>16.4767932489451</x:v>
      </x:c>
      <x:c r="O35" s="34" t="n">
        <x:v>2.31314044605184</x:v>
      </x:c>
      <x:c r="P35" s="34" t="n">
        <x:v>22.97083282470703</x:v>
      </x:c>
      <x:c r="Q35" s="12" t="n">
        <x:v>1634</x:v>
      </x:c>
      <x:c r="R35" s="34" t="n">
        <x:v>132.4210786437345</x:v>
      </x:c>
      <x:c r="S35" s="34" t="n">
        <x:v>1371.2770151126635</x:v>
      </x:c>
      <x:c r="T35" s="2"/>
      <x:c r="U35" s="2"/>
      <x:c r="V35" s="2"/>
    </x:row>
    <x:row r="36" ht="24" customHeight="1">
      <x:c r="A36" s="2" t="str">
        <x:v>GQ12</x:v>
      </x:c>
      <x:c r="B36" s="2" t="str">
        <x:v>GQ</x:v>
      </x:c>
      <x:c r="C36" s="19" t="n">
        <x:v>0.881</x:v>
      </x:c>
      <x:c r="D36" s="19" t="n">
        <x:v>66.74</x:v>
      </x:c>
      <x:c r="E36" s="19" t="n">
        <x:v>62.24</x:v>
      </x:c>
      <x:c r="F36" s="38" t="n">
        <x:v>21.4536174470001</x:v>
      </x:c>
      <x:c r="G36" s="38" t="n">
        <x:v>109.908803242</x:v>
      </x:c>
      <x:c r="H36" s="11" t="n">
        <x:v>29</x:v>
      </x:c>
      <x:c r="I36" s="19" t="n">
        <x:v>6.46</x:v>
      </x:c>
      <x:c r="J36" s="19" t="n">
        <x:v>20.09</x:v>
      </x:c>
      <x:c r="K36" s="19" t="n">
        <x:v>31.78</x:v>
      </x:c>
      <x:c r="L36" s="19" t="n">
        <x:v>1.58</x:v>
      </x:c>
      <x:c r="M36" s="19" t="n">
        <x:v>472.59409927679155</x:v>
      </x:c>
      <x:c r="N36" s="19" t="n">
        <x:v>15.40501527517465</x:v>
      </x:c>
      <x:c r="O36" s="19" t="n">
        <x:v>2.0723721862476303</x:v>
      </x:c>
      <x:c r="P36" s="19" t="n">
        <x:v>22.97083282470703</x:v>
      </x:c>
      <x:c r="Q36" s="11" t="n">
        <x:v>1634</x:v>
      </x:c>
      <x:c r="R36" s="19" t="n">
        <x:v>97.94744353296856</x:v>
      </x:c>
      <x:c r="S36" s="19" t="n">
        <x:v>1242.6810258046987</x:v>
      </x:c>
      <x:c r="T36" s="2"/>
      <x:c r="U36" s="2"/>
      <x:c r="V36" s="2"/>
    </x:row>
    <x:row r="37" ht="24" customHeight="1">
      <x:c r="A37" s="10" t="str">
        <x:v>GQ13</x:v>
      </x:c>
      <x:c r="B37" s="10" t="str">
        <x:v>GQ</x:v>
      </x:c>
      <x:c r="C37" s="34" t="n">
        <x:v>0.613</x:v>
      </x:c>
      <x:c r="D37" s="34" t="n">
        <x:v>76.86</x:v>
      </x:c>
      <x:c r="E37" s="34" t="n">
        <x:v>90.77</x:v>
      </x:c>
      <x:c r="F37" s="39" t="n">
        <x:v>21.4562450490001</x:v>
      </x:c>
      <x:c r="G37" s="39" t="n">
        <x:v>109.90892022</x:v>
      </x:c>
      <x:c r="H37" s="12" t="n">
        <x:v>22</x:v>
      </x:c>
      <x:c r="I37" s="34" t="n">
        <x:v>6.41</x:v>
      </x:c>
      <x:c r="J37" s="34" t="n">
        <x:v>20.85</x:v>
      </x:c>
      <x:c r="K37" s="34" t="n">
        <x:v>36.64</x:v>
      </x:c>
      <x:c r="L37" s="34" t="n">
        <x:v>1.76</x:v>
      </x:c>
      <x:c r="M37" s="34" t="n">
        <x:v>475.53248322800255</x:v>
      </x:c>
      <x:c r="N37" s="34" t="n">
        <x:v>17.94059888510025</x:v>
      </x:c>
      <x:c r="O37" s="34" t="n">
        <x:v>2.294734559272995</x:v>
      </x:c>
      <x:c r="P37" s="34" t="n">
        <x:v>22.97083282470703</x:v>
      </x:c>
      <x:c r="Q37" s="12" t="n">
        <x:v>1634</x:v>
      </x:c>
      <x:c r="R37" s="34" t="n">
        <x:v>18.73105269938217</x:v>
      </x:c>
      <x:c r="S37" s="34" t="n">
        <x:v>963.8306534541197</x:v>
      </x:c>
      <x:c r="T37" s="2"/>
      <x:c r="U37" s="2"/>
      <x:c r="V37" s="2"/>
    </x:row>
    <x:row r="38" ht="24" customHeight="1">
      <x:c r="A38" s="2" t="str">
        <x:v>GQ14</x:v>
      </x:c>
      <x:c r="B38" s="2" t="str">
        <x:v>GQ</x:v>
      </x:c>
      <x:c r="C38" s="19" t="n">
        <x:v>0.696</x:v>
      </x:c>
      <x:c r="D38" s="19" t="n">
        <x:v>73.72</x:v>
      </x:c>
      <x:c r="E38" s="19" t="n">
        <x:v>115.39</x:v>
      </x:c>
      <x:c r="F38" s="38" t="n">
        <x:v>21.4572219020001</x:v>
      </x:c>
      <x:c r="G38" s="38" t="n">
        <x:v>109.909038778</x:v>
      </x:c>
      <x:c r="H38" s="11" t="n">
        <x:v>25</x:v>
      </x:c>
      <x:c r="I38" s="19" t="n">
        <x:v>6.83</x:v>
      </x:c>
      <x:c r="J38" s="19" t="n">
        <x:v>15.9</x:v>
      </x:c>
      <x:c r="K38" s="19" t="n">
        <x:v>31.74</x:v>
      </x:c>
      <x:c r="L38" s="19" t="n">
        <x:v>2</x:v>
      </x:c>
      <x:c r="M38" s="19" t="n">
        <x:v>483.35238382792704</x:v>
      </x:c>
      <x:c r="N38" s="19" t="n">
        <x:v>16.6604359202985</x:v>
      </x:c>
      <x:c r="O38" s="19" t="n">
        <x:v>1.9243873228264199</x:v>
      </x:c>
      <x:c r="P38" s="19" t="n">
        <x:v>22.97083282470703</x:v>
      </x:c>
      <x:c r="Q38" s="11" t="n">
        <x:v>1634</x:v>
      </x:c>
      <x:c r="R38" s="19" t="n">
        <x:v>31.86002076987492</x:v>
      </x:c>
      <x:c r="S38" s="19" t="n">
        <x:v>864.8167280667031</x:v>
      </x:c>
      <x:c r="T38" s="2"/>
      <x:c r="U38" s="2"/>
      <x:c r="V38" s="2"/>
    </x:row>
    <x:row r="39" ht="24" customHeight="1">
      <x:c r="A39" s="10" t="str">
        <x:v>GQ15</x:v>
      </x:c>
      <x:c r="B39" s="10" t="str">
        <x:v>GQ</x:v>
      </x:c>
      <x:c r="C39" s="34" t="n">
        <x:v>0.598</x:v>
      </x:c>
      <x:c r="D39" s="34" t="n">
        <x:v>77.42</x:v>
      </x:c>
      <x:c r="E39" s="34" t="n">
        <x:v>138.93</x:v>
      </x:c>
      <x:c r="F39" s="39" t="n">
        <x:v>21.4579263090001</x:v>
      </x:c>
      <x:c r="G39" s="39" t="n">
        <x:v>109.909339646</x:v>
      </x:c>
      <x:c r="H39" s="12" t="n">
        <x:v>25</x:v>
      </x:c>
      <x:c r="I39" s="34" t="n">
        <x:v>6.75</x:v>
      </x:c>
      <x:c r="J39" s="34" t="n">
        <x:v>17.91</x:v>
      </x:c>
      <x:c r="K39" s="34" t="n">
        <x:v>37.86</x:v>
      </x:c>
      <x:c r="L39" s="34" t="n">
        <x:v>2.11</x:v>
      </x:c>
      <x:c r="M39" s="34" t="n">
        <x:v>468.688138569604</x:v>
      </x:c>
      <x:c r="N39" s="34" t="n">
        <x:v>12.631089642633746</x:v>
      </x:c>
      <x:c r="O39" s="34" t="n">
        <x:v>1.555284585102245</x:v>
      </x:c>
      <x:c r="P39" s="34" t="n">
        <x:v>22.97083282470703</x:v>
      </x:c>
      <x:c r="Q39" s="12" t="n">
        <x:v>1634</x:v>
      </x:c>
      <x:c r="R39" s="34" t="n">
        <x:v>63.64006692951779</x:v>
      </x:c>
      <x:c r="S39" s="34" t="n">
        <x:v>803.6435624389158</x:v>
      </x:c>
      <x:c r="T39" s="2"/>
      <x:c r="U39" s="2"/>
      <x:c r="V39" s="2"/>
    </x:row>
    <x:row r="40" ht="24" customHeight="1">
      <x:c r="A40" s="2" t="str">
        <x:v>GQ16</x:v>
      </x:c>
      <x:c r="B40" s="2" t="str">
        <x:v>GQ</x:v>
      </x:c>
      <x:c r="C40" s="19" t="n">
        <x:v>0.547</x:v>
      </x:c>
      <x:c r="D40" s="19" t="n">
        <x:v>79.37</x:v>
      </x:c>
      <x:c r="E40" s="19" t="n">
        <x:v>163.4</x:v>
      </x:c>
      <x:c r="F40" s="38" t="n">
        <x:v>21.458881439</x:v>
      </x:c>
      <x:c r="G40" s="38" t="n">
        <x:v>109.909584128</x:v>
      </x:c>
      <x:c r="H40" s="11" t="n">
        <x:v>26</x:v>
      </x:c>
      <x:c r="I40" s="19" t="n">
        <x:v>6.5</x:v>
      </x:c>
      <x:c r="J40" s="19" t="n">
        <x:v>17.66</x:v>
      </x:c>
      <x:c r="K40" s="19" t="n">
        <x:v>47.1</x:v>
      </x:c>
      <x:c r="L40" s="19" t="n">
        <x:v>2.67</x:v>
      </x:c>
      <x:c r="M40" s="19" t="n">
        <x:v>456.063419467732</x:v>
      </x:c>
      <x:c r="N40" s="19" t="n">
        <x:v>18.9518372399473</x:v>
      </x:c>
      <x:c r="O40" s="19" t="n">
        <x:v>2.447800497430135</x:v>
      </x:c>
      <x:c r="P40" s="19" t="n">
        <x:v>22.983333587646484</x:v>
      </x:c>
      <x:c r="Q40" s="11" t="n">
        <x:v>1648</x:v>
      </x:c>
      <x:c r="R40" s="19" t="n">
        <x:v>24.09042897836793</x:v>
      </x:c>
      <x:c r="S40" s="19" t="n">
        <x:v>719.7207811022344</x:v>
      </x:c>
      <x:c r="T40" s="2"/>
      <x:c r="U40" s="2"/>
      <x:c r="V40" s="2"/>
    </x:row>
    <x:row r="41" ht="24" customHeight="1">
      <x:c r="A41" s="10" t="str">
        <x:v>GQ17</x:v>
      </x:c>
      <x:c r="B41" s="10" t="str">
        <x:v>GQ</x:v>
      </x:c>
      <x:c r="C41" s="34" t="n">
        <x:v>0.643</x:v>
      </x:c>
      <x:c r="D41" s="34" t="n">
        <x:v>75.74</x:v>
      </x:c>
      <x:c r="E41" s="34" t="n">
        <x:v>130.17</x:v>
      </x:c>
      <x:c r="F41" s="39" t="n">
        <x:v>21.462318189</x:v>
      </x:c>
      <x:c r="G41" s="39" t="n">
        <x:v>109.912649378</x:v>
      </x:c>
      <x:c r="H41" s="12" t="n">
        <x:v>25</x:v>
      </x:c>
      <x:c r="I41" s="34" t="n">
        <x:v>6.41</x:v>
      </x:c>
      <x:c r="J41" s="34" t="n">
        <x:v>16.61</x:v>
      </x:c>
      <x:c r="K41" s="34" t="n">
        <x:v>55.34</x:v>
      </x:c>
      <x:c r="L41" s="34" t="n">
        <x:v>3.33</x:v>
      </x:c>
      <x:c r="M41" s="34" t="n">
        <x:v>448.67468286697</x:v>
      </x:c>
      <x:c r="N41" s="34" t="n">
        <x:v>16.04277436816615</x:v>
      </x:c>
      <x:c r="O41" s="34" t="n">
        <x:v>2.62206873263452</x:v>
      </x:c>
      <x:c r="P41" s="34" t="n">
        <x:v>22.983333587646484</x:v>
      </x:c>
      <x:c r="Q41" s="12" t="n">
        <x:v>1648</x:v>
      </x:c>
      <x:c r="R41" s="34" t="n">
        <x:v>156.5658399351222</x:v>
      </x:c>
      <x:c r="S41" s="34" t="n">
        <x:v>709.1072920022265</x:v>
      </x:c>
      <x:c r="T41" s="2"/>
      <x:c r="U41" s="2"/>
      <x:c r="V41" s="2"/>
    </x:row>
    <x:row r="42" ht="24" customHeight="1">
      <x:c r="A42" s="2" t="str">
        <x:v>GQ18</x:v>
      </x:c>
      <x:c r="B42" s="2" t="str">
        <x:v>GQ</x:v>
      </x:c>
      <x:c r="C42" s="19" t="n">
        <x:v>0.555</x:v>
      </x:c>
      <x:c r="D42" s="19" t="n">
        <x:v>79.04</x:v>
      </x:c>
      <x:c r="E42" s="19" t="n">
        <x:v>152.07</x:v>
      </x:c>
      <x:c r="F42" s="38" t="n">
        <x:v>21.4630723000001</x:v>
      </x:c>
      <x:c r="G42" s="38" t="n">
        <x:v>109.913301828</x:v>
      </x:c>
      <x:c r="H42" s="11" t="n">
        <x:v>28</x:v>
      </x:c>
      <x:c r="I42" s="19" t="n">
        <x:v>6.27</x:v>
      </x:c>
      <x:c r="J42" s="19" t="n">
        <x:v>19.42</x:v>
      </x:c>
      <x:c r="K42" s="19" t="n">
        <x:v>69.79</x:v>
      </x:c>
      <x:c r="L42" s="19" t="n">
        <x:v>3.59</x:v>
      </x:c>
      <x:c r="M42" s="19" t="n">
        <x:v>432.013394647153</x:v>
      </x:c>
      <x:c r="N42" s="19" t="n">
        <x:v>16.09138020370945</x:v>
      </x:c>
      <x:c r="O42" s="19" t="n">
        <x:v>2.221786571344225</x:v>
      </x:c>
      <x:c r="P42" s="19" t="n">
        <x:v>22.983333587646484</x:v>
      </x:c>
      <x:c r="Q42" s="11" t="n">
        <x:v>1648</x:v>
      </x:c>
      <x:c r="R42" s="19" t="n">
        <x:v>72.59110711017678</x:v>
      </x:c>
      <x:c r="S42" s="19" t="n">
        <x:v>749.7938834397289</x:v>
      </x:c>
      <x:c r="T42" s="2"/>
      <x:c r="U42" s="2"/>
      <x:c r="V42" s="2"/>
    </x:row>
    <x:row r="43" ht="24" customHeight="1">
      <x:c r="A43" s="10" t="str">
        <x:v>GQ19</x:v>
      </x:c>
      <x:c r="B43" s="10" t="str">
        <x:v>GQ</x:v>
      </x:c>
      <x:c r="C43" s="34" t="n">
        <x:v>0.62</x:v>
      </x:c>
      <x:c r="D43" s="34" t="n">
        <x:v>76.61</x:v>
      </x:c>
      <x:c r="E43" s="34" t="n">
        <x:v>122.62</x:v>
      </x:c>
      <x:c r="F43" s="39" t="n">
        <x:v>21.4654979380001</x:v>
      </x:c>
      <x:c r="G43" s="39" t="n">
        <x:v>109.918237611</x:v>
      </x:c>
      <x:c r="H43" s="12" t="n">
        <x:v>27</x:v>
      </x:c>
      <x:c r="I43" s="34" t="n">
        <x:v>6.43</x:v>
      </x:c>
      <x:c r="J43" s="34" t="n">
        <x:v>19.2</x:v>
      </x:c>
      <x:c r="K43" s="34" t="n">
        <x:v>71.19</x:v>
      </x:c>
      <x:c r="L43" s="34" t="n">
        <x:v>3.71</x:v>
      </x:c>
      <x:c r="M43" s="34" t="n">
        <x:v>473.89047799721453</x:v>
      </x:c>
      <x:c r="N43" s="34" t="n">
        <x:v>13.542170313808125</x:v>
      </x:c>
      <x:c r="O43" s="34" t="n">
        <x:v>2.0561331399097353</x:v>
      </x:c>
      <x:c r="P43" s="34" t="n">
        <x:v>22.962499618530273</x:v>
      </x:c>
      <x:c r="Q43" s="12" t="n">
        <x:v>1644</x:v>
      </x:c>
      <x:c r="R43" s="34" t="n">
        <x:v>138.57385412043587</x:v>
      </x:c>
      <x:c r="S43" s="34" t="n">
        <x:v>1246.5743717545438</x:v>
      </x:c>
      <x:c r="T43" s="2"/>
      <x:c r="U43" s="2"/>
      <x:c r="V43" s="2"/>
    </x:row>
    <x:row r="44" ht="24" customHeight="1">
      <x:c r="A44" s="2" t="str">
        <x:v>GQ20</x:v>
      </x:c>
      <x:c r="B44" s="2" t="str">
        <x:v>GQ</x:v>
      </x:c>
      <x:c r="C44" s="19" t="n">
        <x:v>0.462</x:v>
      </x:c>
      <x:c r="D44" s="19" t="n">
        <x:v>82.57</x:v>
      </x:c>
      <x:c r="E44" s="19" t="n">
        <x:v>159.8</x:v>
      </x:c>
      <x:c r="F44" s="38" t="n">
        <x:v>21.4659492910001</x:v>
      </x:c>
      <x:c r="G44" s="38" t="n">
        <x:v>109.918837296</x:v>
      </x:c>
      <x:c r="H44" s="11" t="n">
        <x:v>30</x:v>
      </x:c>
      <x:c r="I44" s="19" t="n">
        <x:v>6.16</x:v>
      </x:c>
      <x:c r="J44" s="19" t="n">
        <x:v>17.06</x:v>
      </x:c>
      <x:c r="K44" s="19" t="n">
        <x:v>56.99</x:v>
      </x:c>
      <x:c r="L44" s="19" t="n">
        <x:v>3.34</x:v>
      </x:c>
      <x:c r="M44" s="19" t="n">
        <x:v>441.5554297544573</x:v>
      </x:c>
      <x:c r="N44" s="19" t="n">
        <x:v>16.477445186119</x:v>
      </x:c>
      <x:c r="O44" s="19" t="n">
        <x:v>2.07872915277113</x:v>
      </x:c>
      <x:c r="P44" s="19" t="n">
        <x:v>22.962499618530273</x:v>
      </x:c>
      <x:c r="Q44" s="11" t="n">
        <x:v>1644</x:v>
      </x:c>
      <x:c r="R44" s="19" t="n">
        <x:v>75.69123396191165</x:v>
      </x:c>
      <x:c r="S44" s="19" t="n">
        <x:v>1232.8302287864228</x:v>
      </x:c>
      <x:c r="T44" s="2"/>
      <x:c r="U44" s="2"/>
      <x:c r="V44" s="2"/>
    </x:row>
    <x:row r="45" ht="24" customHeight="1">
      <x:c r="A45" s="10" t="str">
        <x:v>GQ21</x:v>
      </x:c>
      <x:c r="B45" s="10" t="str">
        <x:v>GQ</x:v>
      </x:c>
      <x:c r="C45" s="34" t="n">
        <x:v>0.52</x:v>
      </x:c>
      <x:c r="D45" s="34" t="n">
        <x:v>80.37</x:v>
      </x:c>
      <x:c r="E45" s="34" t="n">
        <x:v>163.31</x:v>
      </x:c>
      <x:c r="F45" s="39" t="n">
        <x:v>21.466687021</x:v>
      </x:c>
      <x:c r="G45" s="39" t="n">
        <x:v>109.920325153</x:v>
      </x:c>
      <x:c r="H45" s="12" t="n">
        <x:v>29</x:v>
      </x:c>
      <x:c r="I45" s="34" t="n">
        <x:v>6.07</x:v>
      </x:c>
      <x:c r="J45" s="34" t="n">
        <x:v>18.91</x:v>
      </x:c>
      <x:c r="K45" s="34" t="n">
        <x:v>69.08</x:v>
      </x:c>
      <x:c r="L45" s="34" t="n">
        <x:v>3.65</x:v>
      </x:c>
      <x:c r="M45" s="34" t="n">
        <x:v>432.37251378787164</x:v>
      </x:c>
      <x:c r="N45" s="34" t="n">
        <x:v>15.9249721988016</x:v>
      </x:c>
      <x:c r="O45" s="34" t="n">
        <x:v>2.16150040664559</x:v>
      </x:c>
      <x:c r="P45" s="34" t="n">
        <x:v>22.975000381469727</x:v>
      </x:c>
      <x:c r="Q45" s="12" t="n">
        <x:v>1653</x:v>
      </x:c>
      <x:c r="R45" s="34" t="n">
        <x:v>56.92085070000058</x:v>
      </x:c>
      <x:c r="S45" s="34" t="n">
        <x:v>1162.6321581527006</x:v>
      </x:c>
      <x:c r="T45" s="2"/>
      <x:c r="U45" s="2"/>
      <x:c r="V45" s="2"/>
    </x:row>
    <x:row r="46" ht="24" customHeight="1">
      <x:c r="A46" s="2" t="str">
        <x:v>GQ22</x:v>
      </x:c>
      <x:c r="B46" s="2" t="str">
        <x:v>GQ</x:v>
      </x:c>
      <x:c r="C46" s="19" t="n">
        <x:v>0.6</x:v>
      </x:c>
      <x:c r="D46" s="19" t="n">
        <x:v>77.35</x:v>
      </x:c>
      <x:c r="E46" s="19" t="n">
        <x:v>139.96</x:v>
      </x:c>
      <x:c r="F46" s="38" t="n">
        <x:v>21.4675079460001</x:v>
      </x:c>
      <x:c r="G46" s="38" t="n">
        <x:v>109.920726386</x:v>
      </x:c>
      <x:c r="H46" s="11" t="n">
        <x:v>28</x:v>
      </x:c>
      <x:c r="I46" s="19" t="n">
        <x:v>6.4</x:v>
      </x:c>
      <x:c r="J46" s="19" t="n">
        <x:v>18.61</x:v>
      </x:c>
      <x:c r="K46" s="19" t="n">
        <x:v>52.95</x:v>
      </x:c>
      <x:c r="L46" s="19" t="n">
        <x:v>2.85</x:v>
      </x:c>
      <x:c r="M46" s="19" t="n">
        <x:v>455.23141170279575</x:v>
      </x:c>
      <x:c r="N46" s="19" t="n">
        <x:v>15.962281831200073</x:v>
      </x:c>
      <x:c r="O46" s="19" t="n">
        <x:v>2.0547365902689374</x:v>
      </x:c>
      <x:c r="P46" s="19" t="n">
        <x:v>22.975000381469727</x:v>
      </x:c>
      <x:c r="Q46" s="11" t="n">
        <x:v>1653</x:v>
      </x:c>
      <x:c r="R46" s="19" t="n">
        <x:v>32.06720755520122</x:v>
      </x:c>
      <x:c r="S46" s="19" t="n">
        <x:v>1079.822926956481</x:v>
      </x:c>
      <x:c r="T46" s="2"/>
      <x:c r="U46" s="2"/>
      <x:c r="V46" s="2"/>
    </x:row>
    <x:row r="47" ht="24" customHeight="1">
      <x:c r="A47" s="10" t="str">
        <x:v>GQ23</x:v>
      </x:c>
      <x:c r="B47" s="10" t="str">
        <x:v>GQ</x:v>
      </x:c>
      <x:c r="C47" s="34" t="n">
        <x:v>0.468</x:v>
      </x:c>
      <x:c r="D47" s="34" t="n">
        <x:v>82.35</x:v>
      </x:c>
      <x:c r="E47" s="34" t="n">
        <x:v>163.05</x:v>
      </x:c>
      <x:c r="F47" s="39" t="n">
        <x:v>21.4691348690001</x:v>
      </x:c>
      <x:c r="G47" s="39" t="n">
        <x:v>109.921099446</x:v>
      </x:c>
      <x:c r="H47" s="12" t="n">
        <x:v>30</x:v>
      </x:c>
      <x:c r="I47" s="34" t="n">
        <x:v>6.38</x:v>
      </x:c>
      <x:c r="J47" s="34" t="n">
        <x:v>17.18</x:v>
      </x:c>
      <x:c r="K47" s="34" t="n">
        <x:v>56.37</x:v>
      </x:c>
      <x:c r="L47" s="34" t="n">
        <x:v>3.28</x:v>
      </x:c>
      <x:c r="M47" s="34" t="n">
        <x:v>458.43922529400754</x:v>
      </x:c>
      <x:c r="N47" s="34" t="n">
        <x:v>16.21505237403275</x:v>
      </x:c>
      <x:c r="O47" s="34" t="n">
        <x:v>2.418983030358885</x:v>
      </x:c>
      <x:c r="P47" s="34" t="n">
        <x:v>22.975000381469727</x:v>
      </x:c>
      <x:c r="Q47" s="12" t="n">
        <x:v>1653</x:v>
      </x:c>
      <x:c r="R47" s="34" t="n">
        <x:v>11.082445990743574</x:v>
      </x:c>
      <x:c r="S47" s="34" t="n">
        <x:v>913.1415062237221</x:v>
      </x:c>
      <x:c r="T47" s="2"/>
      <x:c r="U47" s="2"/>
      <x:c r="V47" s="2"/>
    </x:row>
    <x:row r="48" ht="24" customHeight="1">
      <x:c r="A48" s="2" t="str">
        <x:v>GQ24</x:v>
      </x:c>
      <x:c r="B48" s="2" t="str">
        <x:v>GQ</x:v>
      </x:c>
      <x:c r="C48" s="19" t="n">
        <x:v>0.522</x:v>
      </x:c>
      <x:c r="D48" s="19" t="n">
        <x:v>80.32</x:v>
      </x:c>
      <x:c r="E48" s="19" t="n">
        <x:v>151.2</x:v>
      </x:c>
      <x:c r="F48" s="38" t="n">
        <x:v>21.4703450650001</x:v>
      </x:c>
      <x:c r="G48" s="38" t="n">
        <x:v>109.921942102</x:v>
      </x:c>
      <x:c r="H48" s="11" t="n">
        <x:v>30</x:v>
      </x:c>
      <x:c r="I48" s="19" t="n">
        <x:v>6.38</x:v>
      </x:c>
      <x:c r="J48" s="19" t="n">
        <x:v>16.85</x:v>
      </x:c>
      <x:c r="K48" s="19" t="n">
        <x:v>53.9</x:v>
      </x:c>
      <x:c r="L48" s="19" t="n">
        <x:v>3.2</x:v>
      </x:c>
      <x:c r="M48" s="19" t="n">
        <x:v>449.447858102443</x:v>
      </x:c>
      <x:c r="N48" s="19" t="n">
        <x:v>18.315356793471267</x:v>
      </x:c>
      <x:c r="O48" s="19" t="n">
        <x:v>2.1245085953295164</x:v>
      </x:c>
      <x:c r="P48" s="19" t="n">
        <x:v>22.975000381469727</x:v>
      </x:c>
      <x:c r="Q48" s="11" t="n">
        <x:v>1653</x:v>
      </x:c>
      <x:c r="R48" s="19" t="n">
        <x:v>84.46725570585787</x:v>
      </x:c>
      <x:c r="S48" s="19" t="n">
        <x:v>816.1399112512571</x:v>
      </x:c>
      <x:c r="T48" s="2"/>
      <x:c r="U48" s="2"/>
      <x:c r="V48" s="2"/>
    </x:row>
    <x:row r="49" ht="24" customHeight="1">
      <x:c r="A49" s="10" t="str">
        <x:v>GQ25</x:v>
      </x:c>
      <x:c r="B49" s="10" t="str">
        <x:v>GQ</x:v>
      </x:c>
      <x:c r="C49" s="34" t="n">
        <x:v>0.602</x:v>
      </x:c>
      <x:c r="D49" s="34" t="n">
        <x:v>77.3</x:v>
      </x:c>
      <x:c r="E49" s="34" t="n">
        <x:v>149.38</x:v>
      </x:c>
      <x:c r="F49" s="39" t="n">
        <x:v>21.5028831590001</x:v>
      </x:c>
      <x:c r="G49" s="39" t="n">
        <x:v>109.794152076</x:v>
      </x:c>
      <x:c r="H49" s="12" t="n">
        <x:v>27</x:v>
      </x:c>
      <x:c r="I49" s="34" t="n">
        <x:v>6.15</x:v>
      </x:c>
      <x:c r="J49" s="34" t="n">
        <x:v>15.68</x:v>
      </x:c>
      <x:c r="K49" s="34" t="n">
        <x:v>49.2</x:v>
      </x:c>
      <x:c r="L49" s="34" t="n">
        <x:v>3.14</x:v>
      </x:c>
      <x:c r="M49" s="34" t="n">
        <x:v>453.90230929946597</x:v>
      </x:c>
      <x:c r="N49" s="34" t="n">
        <x:v>19.31252302025785</x:v>
      </x:c>
      <x:c r="O49" s="34" t="n">
        <x:v>2.332719459791285</x:v>
      </x:c>
      <x:c r="P49" s="34" t="n">
        <x:v>22.912500381469727</x:v>
      </x:c>
      <x:c r="Q49" s="12" t="n">
        <x:v>1645</x:v>
      </x:c>
      <x:c r="R49" s="34" t="n">
        <x:v>916.5492608102264</x:v>
      </x:c>
      <x:c r="S49" s="34" t="n">
        <x:v>97.87130185611424</x:v>
      </x:c>
      <x:c r="T49" s="2"/>
      <x:c r="U49" s="2"/>
      <x:c r="V49" s="2"/>
    </x:row>
    <x:row r="50" ht="24" customHeight="1">
      <x:c r="A50" s="2" t="str">
        <x:v>GQ26</x:v>
      </x:c>
      <x:c r="B50" s="2" t="str">
        <x:v>GQ</x:v>
      </x:c>
      <x:c r="C50" s="19" t="n">
        <x:v>0.674</x:v>
      </x:c>
      <x:c r="D50" s="19" t="n">
        <x:v>74.58</x:v>
      </x:c>
      <x:c r="E50" s="19" t="n">
        <x:v>109.35</x:v>
      </x:c>
      <x:c r="F50" s="38" t="n">
        <x:v>21.504547728</x:v>
      </x:c>
      <x:c r="G50" s="38" t="n">
        <x:v>109.794351172</x:v>
      </x:c>
      <x:c r="H50" s="11" t="n">
        <x:v>27</x:v>
      </x:c>
      <x:c r="I50" s="19" t="n">
        <x:v>6.78</x:v>
      </x:c>
      <x:c r="J50" s="19" t="n">
        <x:v>14.83</x:v>
      </x:c>
      <x:c r="K50" s="19" t="n">
        <x:v>40.41</x:v>
      </x:c>
      <x:c r="L50" s="19" t="n">
        <x:v>2.72</x:v>
      </x:c>
      <x:c r="M50" s="19" t="n">
        <x:v>481.3111487411057</x:v>
      </x:c>
      <x:c r="N50" s="19" t="n">
        <x:v>16.234680486627635</x:v>
      </x:c>
      <x:c r="O50" s="19" t="n">
        <x:v>1.6627744788505332</x:v>
      </x:c>
      <x:c r="P50" s="19" t="n">
        <x:v>22.912500381469727</x:v>
      </x:c>
      <x:c r="Q50" s="11" t="n">
        <x:v>1645</x:v>
      </x:c>
      <x:c r="R50" s="19" t="n">
        <x:v>974.7885710858243</x:v>
      </x:c>
      <x:c r="S50" s="19" t="n">
        <x:v>279.88755991096014</x:v>
      </x:c>
      <x:c r="T50" s="2"/>
      <x:c r="U50" s="2"/>
      <x:c r="V50" s="2"/>
    </x:row>
    <x:row r="51" ht="24" customHeight="1">
      <x:c r="A51" s="10" t="str">
        <x:v>GQ27</x:v>
      </x:c>
      <x:c r="B51" s="10" t="str">
        <x:v>GQ</x:v>
      </x:c>
      <x:c r="C51" s="34" t="n">
        <x:v>0.733</x:v>
      </x:c>
      <x:c r="D51" s="34" t="n">
        <x:v>72.34</x:v>
      </x:c>
      <x:c r="E51" s="34" t="n">
        <x:v>100.52</x:v>
      </x:c>
      <x:c r="F51" s="39" t="n">
        <x:v>21.505150734</x:v>
      </x:c>
      <x:c r="G51" s="39" t="n">
        <x:v>109.793957363</x:v>
      </x:c>
      <x:c r="H51" s="12" t="n">
        <x:v>30</x:v>
      </x:c>
      <x:c r="I51" s="34" t="n">
        <x:v>6.75</x:v>
      </x:c>
      <x:c r="J51" s="34" t="n">
        <x:v>18.44</x:v>
      </x:c>
      <x:c r="K51" s="34" t="n">
        <x:v>51.83</x:v>
      </x:c>
      <x:c r="L51" s="34" t="n">
        <x:v>2.81</x:v>
      </x:c>
      <x:c r="M51" s="34" t="n">
        <x:v>459.0467353128995</x:v>
      </x:c>
      <x:c r="N51" s="34" t="n">
        <x:v>20.56086254518175</x:v>
      </x:c>
      <x:c r="O51" s="34" t="n">
        <x:v>2.1557555582077352</x:v>
      </x:c>
      <x:c r="P51" s="34" t="n">
        <x:v>22.912500381469727</x:v>
      </x:c>
      <x:c r="Q51" s="12" t="n">
        <x:v>1645</x:v>
      </x:c>
      <x:c r="R51" s="34" t="n">
        <x:v>1020.508396767886</x:v>
      </x:c>
      <x:c r="S51" s="34" t="n">
        <x:v>340.31253176168553</x:v>
      </x:c>
      <x:c r="T51" s="2"/>
      <x:c r="U51" s="2"/>
      <x:c r="V51" s="2"/>
    </x:row>
    <x:row r="52" ht="24" customHeight="1">
      <x:c r="A52" s="2" t="str">
        <x:v>GQ28</x:v>
      </x:c>
      <x:c r="B52" s="2" t="str">
        <x:v>GQ</x:v>
      </x:c>
      <x:c r="C52" s="19" t="n">
        <x:v>0.881</x:v>
      </x:c>
      <x:c r="D52" s="19" t="n">
        <x:v>66.77</x:v>
      </x:c>
      <x:c r="E52" s="19" t="n">
        <x:v>69.18</x:v>
      </x:c>
      <x:c r="F52" s="38" t="n">
        <x:v>21.505775321</x:v>
      </x:c>
      <x:c r="G52" s="38" t="n">
        <x:v>109.793292843</x:v>
      </x:c>
      <x:c r="H52" s="11" t="n">
        <x:v>30</x:v>
      </x:c>
      <x:c r="I52" s="19" t="n">
        <x:v>6.64</x:v>
      </x:c>
      <x:c r="J52" s="19" t="n">
        <x:v>19.81</x:v>
      </x:c>
      <x:c r="K52" s="19" t="n">
        <x:v>58.43</x:v>
      </x:c>
      <x:c r="L52" s="19" t="n">
        <x:v>2.95</x:v>
      </x:c>
      <x:c r="M52" s="19" t="n">
        <x:v>438.9149003848065</x:v>
      </x:c>
      <x:c r="N52" s="19" t="n">
        <x:v>16.3741279746236</x:v>
      </x:c>
      <x:c r="O52" s="19" t="n">
        <x:v>1.8698827562190852</x:v>
      </x:c>
      <x:c r="P52" s="19" t="n">
        <x:v>22.912500381469727</x:v>
      </x:c>
      <x:c r="Q52" s="11" t="n">
        <x:v>1645</x:v>
      </x:c>
      <x:c r="R52" s="19" t="n">
        <x:v>1098.0765001119971</x:v>
      </x:c>
      <x:c r="S52" s="19" t="n">
        <x:v>411.52608032679234</x:v>
      </x:c>
      <x:c r="T52" s="2"/>
      <x:c r="U52" s="2"/>
      <x:c r="V52" s="2"/>
    </x:row>
    <x:row r="53" ht="24" customHeight="1">
      <x:c r="A53" s="10" t="str">
        <x:v>GQ29</x:v>
      </x:c>
      <x:c r="B53" s="10" t="str">
        <x:v>GQ</x:v>
      </x:c>
      <x:c r="C53" s="34" t="n">
        <x:v>0.536</x:v>
      </x:c>
      <x:c r="D53" s="34" t="n">
        <x:v>79.78</x:v>
      </x:c>
      <x:c r="E53" s="34" t="n">
        <x:v>148.18</x:v>
      </x:c>
      <x:c r="F53" s="39" t="n">
        <x:v>21.514757876</x:v>
      </x:c>
      <x:c r="G53" s="39" t="n">
        <x:v>109.78704124</x:v>
      </x:c>
      <x:c r="H53" s="12" t="n">
        <x:v>27</x:v>
      </x:c>
      <x:c r="I53" s="34" t="n">
        <x:v>6.61</x:v>
      </x:c>
      <x:c r="J53" s="34" t="n">
        <x:v>16.8</x:v>
      </x:c>
      <x:c r="K53" s="34" t="n">
        <x:v>49.67</x:v>
      </x:c>
      <x:c r="L53" s="34" t="n">
        <x:v>2.96</x:v>
      </x:c>
      <x:c r="M53" s="34" t="n">
        <x:v>435.969480994152</x:v>
      </x:c>
      <x:c r="N53" s="34" t="n">
        <x:v>20.7903465346535</x:v>
      </x:c>
      <x:c r="O53" s="34" t="n">
        <x:v>2.98189975247525</x:v>
      </x:c>
      <x:c r="P53" s="34" t="n">
        <x:v>22.89583396911621</x:v>
      </x:c>
      <x:c r="Q53" s="12" t="n">
        <x:v>1643</x:v>
      </x:c>
      <x:c r="R53" s="34" t="n">
        <x:v>1472.3600642969002</x:v>
      </x:c>
      <x:c r="S53" s="34" t="n">
        <x:v>1566.0960366647378</x:v>
      </x:c>
      <x:c r="T53" s="2"/>
      <x:c r="U53" s="2"/>
      <x:c r="V53" s="2"/>
    </x:row>
    <x:row r="54" ht="24" customHeight="1">
      <x:c r="A54" s="2" t="str">
        <x:v>GQ30</x:v>
      </x:c>
      <x:c r="B54" s="2" t="str">
        <x:v>GQ</x:v>
      </x:c>
      <x:c r="C54" s="19" t="n">
        <x:v>0.649</x:v>
      </x:c>
      <x:c r="D54" s="19" t="n">
        <x:v>75.51</x:v>
      </x:c>
      <x:c r="E54" s="19" t="n">
        <x:v>112.67</x:v>
      </x:c>
      <x:c r="F54" s="38" t="n">
        <x:v>21.515613613</x:v>
      </x:c>
      <x:c r="G54" s="38" t="n">
        <x:v>109.786691373</x:v>
      </x:c>
      <x:c r="H54" s="11" t="n">
        <x:v>30</x:v>
      </x:c>
      <x:c r="I54" s="19" t="n">
        <x:v>6.3</x:v>
      </x:c>
      <x:c r="J54" s="19" t="n">
        <x:v>16.5</x:v>
      </x:c>
      <x:c r="K54" s="19" t="n">
        <x:v>54.16</x:v>
      </x:c>
      <x:c r="L54" s="19" t="n">
        <x:v>3.28</x:v>
      </x:c>
      <x:c r="M54" s="19" t="n">
        <x:v>464.982394655237</x:v>
      </x:c>
      <x:c r="N54" s="19" t="n">
        <x:v>15.373605870578402</x:v>
      </x:c>
      <x:c r="O54" s="19" t="n">
        <x:v>1.71515833963661</x:v>
      </x:c>
      <x:c r="P54" s="19" t="n">
        <x:v>22.89583396911621</x:v>
      </x:c>
      <x:c r="Q54" s="11" t="n">
        <x:v>1643</x:v>
      </x:c>
      <x:c r="R54" s="19" t="n">
        <x:v>1510.0794201366266</x:v>
      </x:c>
      <x:c r="S54" s="19" t="n">
        <x:v>1667.1147991386451</x:v>
      </x:c>
      <x:c r="T54" s="2"/>
      <x:c r="U54" s="2"/>
      <x:c r="V54" s="2"/>
    </x:row>
    <x:row r="55" ht="24" customHeight="1">
      <x:c r="A55" s="10" t="str">
        <x:v>GQ31</x:v>
      </x:c>
      <x:c r="B55" s="10" t="str">
        <x:v>GQ</x:v>
      </x:c>
      <x:c r="C55" s="34" t="n">
        <x:v>0.604</x:v>
      </x:c>
      <x:c r="D55" s="34" t="n">
        <x:v>77.22</x:v>
      </x:c>
      <x:c r="E55" s="34" t="n">
        <x:v>126.9</x:v>
      </x:c>
      <x:c r="F55" s="39" t="n">
        <x:v>21.516379601</x:v>
      </x:c>
      <x:c r="G55" s="39" t="n">
        <x:v>109.78640014</x:v>
      </x:c>
      <x:c r="H55" s="12" t="n">
        <x:v>32</x:v>
      </x:c>
      <x:c r="I55" s="34" t="n">
        <x:v>6.12</x:v>
      </x:c>
      <x:c r="J55" s="34" t="n">
        <x:v>16.84</x:v>
      </x:c>
      <x:c r="K55" s="34" t="n">
        <x:v>42.45</x:v>
      </x:c>
      <x:c r="L55" s="34" t="n">
        <x:v>2.52</x:v>
      </x:c>
      <x:c r="M55" s="34" t="n">
        <x:v>453.9660530523655</x:v>
      </x:c>
      <x:c r="N55" s="34" t="n">
        <x:v>20.95017647058825</x:v>
      </x:c>
      <x:c r="O55" s="34" t="n">
        <x:v>2.02133388566694</x:v>
      </x:c>
      <x:c r="P55" s="34" t="n">
        <x:v>22.89583396911621</x:v>
      </x:c>
      <x:c r="Q55" s="12" t="n">
        <x:v>1643</x:v>
      </x:c>
      <x:c r="R55" s="34" t="n">
        <x:v>1546.4585108406295</x:v>
      </x:c>
      <x:c r="S55" s="34" t="n">
        <x:v>1756.6001108498613</x:v>
      </x:c>
      <x:c r="T55" s="2"/>
      <x:c r="U55" s="2"/>
      <x:c r="V55" s="2"/>
    </x:row>
    <x:row r="56" ht="24" customHeight="1">
      <x:c r="A56" s="2" t="str">
        <x:v>GQ32</x:v>
      </x:c>
      <x:c r="B56" s="2" t="str">
        <x:v>GQ</x:v>
      </x:c>
      <x:c r="C56" s="19" t="n">
        <x:v>0.471</x:v>
      </x:c>
      <x:c r="D56" s="19" t="n">
        <x:v>82.24</x:v>
      </x:c>
      <x:c r="E56" s="19" t="n">
        <x:v>154.94</x:v>
      </x:c>
      <x:c r="F56" s="38" t="n">
        <x:v>21.5174478710001</x:v>
      </x:c>
      <x:c r="G56" s="38" t="n">
        <x:v>109.786328187</x:v>
      </x:c>
      <x:c r="H56" s="11" t="n">
        <x:v>29</x:v>
      </x:c>
      <x:c r="I56" s="19" t="n">
        <x:v>6.26</x:v>
      </x:c>
      <x:c r="J56" s="19" t="n">
        <x:v>18.62</x:v>
      </x:c>
      <x:c r="K56" s="19" t="n">
        <x:v>64.09</x:v>
      </x:c>
      <x:c r="L56" s="19" t="n">
        <x:v>3.44</x:v>
      </x:c>
      <x:c r="M56" s="19" t="n">
        <x:v>440.1090502422255</x:v>
      </x:c>
      <x:c r="N56" s="19" t="n">
        <x:v>18.53227592200595</x:v>
      </x:c>
      <x:c r="O56" s="19" t="n">
        <x:v>1.969224852600325</x:v>
      </x:c>
      <x:c r="P56" s="19" t="n">
        <x:v>22.883333206176758</x:v>
      </x:c>
      <x:c r="Q56" s="11" t="n">
        <x:v>1647</x:v>
      </x:c>
      <x:c r="R56" s="19" t="n">
        <x:v>1560.4929724453382</x:v>
      </x:c>
      <x:c r="S56" s="19" t="n">
        <x:v>1803.564892991427</x:v>
      </x:c>
      <x:c r="T56" s="2"/>
      <x:c r="U56" s="2"/>
      <x:c r="V56" s="2"/>
    </x:row>
    <x:row r="57" ht="24" customHeight="1">
      <x:c r="A57" s="10" t="str">
        <x:v>GQ33</x:v>
      </x:c>
      <x:c r="B57" s="10" t="str">
        <x:v>GQ</x:v>
      </x:c>
      <x:c r="C57" s="34" t="n">
        <x:v>0.725</x:v>
      </x:c>
      <x:c r="D57" s="34" t="n">
        <x:v>72.65</x:v>
      </x:c>
      <x:c r="E57" s="34" t="n">
        <x:v>95.94</x:v>
      </x:c>
      <x:c r="F57" s="39" t="n">
        <x:v>21.518057034999998</x:v>
      </x:c>
      <x:c r="G57" s="39" t="n">
        <x:v>109.786850772</x:v>
      </x:c>
      <x:c r="H57" s="12" t="n">
        <x:v>11</x:v>
      </x:c>
      <x:c r="I57" s="34" t="n">
        <x:v>6.5</x:v>
      </x:c>
      <x:c r="J57" s="34" t="n">
        <x:v>14.73</x:v>
      </x:c>
      <x:c r="K57" s="34" t="n">
        <x:v>33.3</x:v>
      </x:c>
      <x:c r="L57" s="34" t="n">
        <x:v>2.26</x:v>
      </x:c>
      <x:c r="M57" s="34" t="n">
        <x:v>510.075282439507</x:v>
      </x:c>
      <x:c r="N57" s="34" t="n">
        <x:v>14.787636280394999</x:v>
      </x:c>
      <x:c r="O57" s="34" t="n">
        <x:v>1.4131868966368248</x:v>
      </x:c>
      <x:c r="P57" s="34" t="n">
        <x:v>22.883333206176758</x:v>
      </x:c>
      <x:c r="Q57" s="12" t="n">
        <x:v>1647</x:v>
      </x:c>
      <x:c r="R57" s="34" t="n">
        <x:v>1486.4037033295017</x:v>
      </x:c>
      <x:c r="S57" s="34" t="n">
        <x:v>1777.0430732950322</x:v>
      </x:c>
      <x:c r="T57" s="2"/>
      <x:c r="U57" s="2"/>
      <x:c r="V57" s="2"/>
    </x:row>
    <x:row r="58" ht="24" customHeight="1">
      <x:c r="A58" s="2" t="str">
        <x:v>GQ34</x:v>
      </x:c>
      <x:c r="B58" s="2" t="str">
        <x:v>GQ</x:v>
      </x:c>
      <x:c r="C58" s="19" t="n">
        <x:v>0.69</x:v>
      </x:c>
      <x:c r="D58" s="19" t="n">
        <x:v>73.96</x:v>
      </x:c>
      <x:c r="E58" s="19" t="n">
        <x:v>107.22</x:v>
      </x:c>
      <x:c r="F58" s="38" t="n">
        <x:v>21.5187464260001</x:v>
      </x:c>
      <x:c r="G58" s="38" t="n">
        <x:v>109.787571134</x:v>
      </x:c>
      <x:c r="H58" s="11" t="n">
        <x:v>14</x:v>
      </x:c>
      <x:c r="I58" s="19" t="n">
        <x:v>7.77</x:v>
      </x:c>
      <x:c r="J58" s="19" t="n">
        <x:v>16.15</x:v>
      </x:c>
      <x:c r="K58" s="19" t="n">
        <x:v>29.47</x:v>
      </x:c>
      <x:c r="L58" s="19" t="n">
        <x:v>1.82</x:v>
      </x:c>
      <x:c r="M58" s="19" t="n">
        <x:v>504.35194947373134</x:v>
      </x:c>
      <x:c r="N58" s="19" t="n">
        <x:v>15.608616217226698</x:v>
      </x:c>
      <x:c r="O58" s="19" t="n">
        <x:v>1.5590103088998812</x:v>
      </x:c>
      <x:c r="P58" s="19" t="n">
        <x:v>22.883333206176758</x:v>
      </x:c>
      <x:c r="Q58" s="11" t="n">
        <x:v>1647</x:v>
      </x:c>
      <x:c r="R58" s="19" t="n">
        <x:v>1391.5214094518312</x:v>
      </x:c>
      <x:c r="S58" s="19" t="n">
        <x:v>1759.9136112277824</x:v>
      </x:c>
      <x:c r="T58" s="2"/>
      <x:c r="U58" s="2"/>
      <x:c r="V58" s="2"/>
    </x:row>
    <x:row r="59" ht="24" customHeight="1">
      <x:c r="A59" s="10" t="str">
        <x:v>GQ35</x:v>
      </x:c>
      <x:c r="B59" s="10" t="str">
        <x:v>GQ</x:v>
      </x:c>
      <x:c r="C59" s="34" t="n">
        <x:v>0.528</x:v>
      </x:c>
      <x:c r="D59" s="34" t="n">
        <x:v>80.09</x:v>
      </x:c>
      <x:c r="E59" s="34" t="n">
        <x:v>121.76</x:v>
      </x:c>
      <x:c r="F59" s="39" t="n">
        <x:v>21.5198475450001</x:v>
      </x:c>
      <x:c r="G59" s="39" t="n">
        <x:v>109.788639236</x:v>
      </x:c>
      <x:c r="H59" s="12" t="n">
        <x:v>14</x:v>
      </x:c>
      <x:c r="I59" s="34" t="n">
        <x:v>6.35</x:v>
      </x:c>
      <x:c r="J59" s="34" t="n">
        <x:v>18.51</x:v>
      </x:c>
      <x:c r="K59" s="34" t="n">
        <x:v>52.38</x:v>
      </x:c>
      <x:c r="L59" s="34" t="n">
        <x:v>2.83</x:v>
      </x:c>
      <x:c r="M59" s="34" t="n">
        <x:v>499.6163673684396</x:v>
      </x:c>
      <x:c r="N59" s="34" t="n">
        <x:v>17.2688549004978</x:v>
      </x:c>
      <x:c r="O59" s="34" t="n">
        <x:v>1.6835929195950934</x:v>
      </x:c>
      <x:c r="P59" s="34" t="n">
        <x:v>22.883333206176758</x:v>
      </x:c>
      <x:c r="Q59" s="12" t="n">
        <x:v>1647</x:v>
      </x:c>
      <x:c r="R59" s="34" t="n">
        <x:v>1252.2664555646495</x:v>
      </x:c>
      <x:c r="S59" s="34" t="n">
        <x:v>1739.9091129018634</x:v>
      </x:c>
      <x:c r="T59" s="2"/>
      <x:c r="U59" s="2"/>
      <x:c r="V59" s="2"/>
    </x:row>
    <x:row r="60" ht="24" customHeight="1">
      <x:c r="A60" s="2" t="str">
        <x:v>GQ36</x:v>
      </x:c>
      <x:c r="B60" s="2" t="str">
        <x:v>GQ</x:v>
      </x:c>
      <x:c r="C60" s="19" t="n">
        <x:v>0.637</x:v>
      </x:c>
      <x:c r="D60" s="19" t="n">
        <x:v>75.97</x:v>
      </x:c>
      <x:c r="E60" s="19" t="n">
        <x:v>100.97</x:v>
      </x:c>
      <x:c r="F60" s="38" t="n">
        <x:v>21.520401276</x:v>
      </x:c>
      <x:c r="G60" s="38" t="n">
        <x:v>109.789132156</x:v>
      </x:c>
      <x:c r="H60" s="11" t="n">
        <x:v>16</x:v>
      </x:c>
      <x:c r="I60" s="19" t="n">
        <x:v>6.58</x:v>
      </x:c>
      <x:c r="J60" s="19" t="n">
        <x:v>14.64</x:v>
      </x:c>
      <x:c r="K60" s="19" t="n">
        <x:v>39.11</x:v>
      </x:c>
      <x:c r="L60" s="19" t="n">
        <x:v>2.67</x:v>
      </x:c>
      <x:c r="M60" s="19" t="n">
        <x:v>527.6998419901145</x:v>
      </x:c>
      <x:c r="N60" s="19" t="n">
        <x:v>18.34281196449855</x:v>
      </x:c>
      <x:c r="O60" s="19" t="n">
        <x:v>2.19006612938425</x:v>
      </x:c>
      <x:c r="P60" s="19" t="n">
        <x:v>22.883333206176758</x:v>
      </x:c>
      <x:c r="Q60" s="11" t="n">
        <x:v>1647</x:v>
      </x:c>
      <x:c r="R60" s="19" t="n">
        <x:v>1189.1863266635937</x:v>
      </x:c>
      <x:c r="S60" s="19" t="n">
        <x:v>1732.3767787890365</x:v>
      </x:c>
      <x:c r="T60" s="2"/>
      <x:c r="U60" s="2"/>
      <x:c r="V60" s="2"/>
    </x:row>
    <x:row r="61" ht="24" customHeight="1">
      <x:c r="A61" s="10" t="str">
        <x:v>GQ37</x:v>
      </x:c>
      <x:c r="B61" s="10" t="str">
        <x:v>GQ</x:v>
      </x:c>
      <x:c r="C61" s="34" t="n">
        <x:v>0.596</x:v>
      </x:c>
      <x:c r="D61" s="34" t="n">
        <x:v>77.52</x:v>
      </x:c>
      <x:c r="E61" s="34" t="n">
        <x:v>128.3</x:v>
      </x:c>
      <x:c r="F61" s="39" t="n">
        <x:v>21.5211115010001</x:v>
      </x:c>
      <x:c r="G61" s="39" t="n">
        <x:v>109.789974085</x:v>
      </x:c>
      <x:c r="H61" s="12" t="n">
        <x:v>15</x:v>
      </x:c>
      <x:c r="I61" s="34" t="n">
        <x:v>6.39</x:v>
      </x:c>
      <x:c r="J61" s="34" t="n">
        <x:v>19.12</x:v>
      </x:c>
      <x:c r="K61" s="34" t="n">
        <x:v>65.16</x:v>
      </x:c>
      <x:c r="L61" s="34" t="n">
        <x:v>3.41</x:v>
      </x:c>
      <x:c r="M61" s="34" t="n">
        <x:v>497.035104364326</x:v>
      </x:c>
      <x:c r="N61" s="34" t="n">
        <x:v>12.827662037037</x:v>
      </x:c>
      <x:c r="O61" s="34" t="n">
        <x:v>1.07060185185185</x:v>
      </x:c>
      <x:c r="P61" s="34" t="n">
        <x:v>22.883333206176758</x:v>
      </x:c>
      <x:c r="Q61" s="12" t="n">
        <x:v>1647</x:v>
      </x:c>
      <x:c r="R61" s="34" t="n">
        <x:v>1089.9305612531634</x:v>
      </x:c>
      <x:c r="S61" s="34" t="n">
        <x:v>1744.6336925946832</x:v>
      </x:c>
      <x:c r="T61" s="2"/>
      <x:c r="U61" s="2"/>
      <x:c r="V61" s="2"/>
    </x:row>
    <x:row r="62" ht="24" customHeight="1">
      <x:c r="A62" s="2" t="str">
        <x:v>GQ38</x:v>
      </x:c>
      <x:c r="B62" s="2" t="str">
        <x:v>GQ</x:v>
      </x:c>
      <x:c r="C62" s="19" t="n">
        <x:v>0.602</x:v>
      </x:c>
      <x:c r="D62" s="19" t="n">
        <x:v>77.29</x:v>
      </x:c>
      <x:c r="E62" s="19" t="n">
        <x:v>119.38</x:v>
      </x:c>
      <x:c r="F62" s="38" t="n">
        <x:v>21.5218820640001</x:v>
      </x:c>
      <x:c r="G62" s="38" t="n">
        <x:v>109.790784255</x:v>
      </x:c>
      <x:c r="H62" s="11" t="n">
        <x:v>15</x:v>
      </x:c>
      <x:c r="I62" s="19" t="n">
        <x:v>6.6</x:v>
      </x:c>
      <x:c r="J62" s="19" t="n">
        <x:v>17.53</x:v>
      </x:c>
      <x:c r="K62" s="19" t="n">
        <x:v>66.67</x:v>
      </x:c>
      <x:c r="L62" s="19" t="n">
        <x:v>3.8</x:v>
      </x:c>
      <x:c r="M62" s="19" t="n">
        <x:v>493.9244494881207</x:v>
      </x:c>
      <x:c r="N62" s="19" t="n">
        <x:v>15.272629417068002</x:v>
      </x:c>
      <x:c r="O62" s="19" t="n">
        <x:v>1.5983126430892307</x:v>
      </x:c>
      <x:c r="P62" s="19" t="n">
        <x:v>22.883333206176758</x:v>
      </x:c>
      <x:c r="Q62" s="11" t="n">
        <x:v>1647</x:v>
      </x:c>
      <x:c r="R62" s="19" t="n">
        <x:v>997.4394582047112</x:v>
      </x:c>
      <x:c r="S62" s="19" t="n">
        <x:v>1758.0402993321093</x:v>
      </x:c>
      <x:c r="T62" s="2"/>
      <x:c r="U62" s="2"/>
      <x:c r="V62" s="2"/>
    </x:row>
    <x:row r="63" ht="24" customHeight="1">
      <x:c r="A63" s="10" t="str">
        <x:v>GQ39</x:v>
      </x:c>
      <x:c r="B63" s="10" t="str">
        <x:v>GQ</x:v>
      </x:c>
      <x:c r="C63" s="34" t="n">
        <x:v>0.692</x:v>
      </x:c>
      <x:c r="D63" s="34" t="n">
        <x:v>73.9</x:v>
      </x:c>
      <x:c r="E63" s="34" t="n">
        <x:v>98.09</x:v>
      </x:c>
      <x:c r="F63" s="39" t="n">
        <x:v>21.5224637260001</x:v>
      </x:c>
      <x:c r="G63" s="39" t="n">
        <x:v>109.791269455</x:v>
      </x:c>
      <x:c r="H63" s="12" t="n">
        <x:v>17</x:v>
      </x:c>
      <x:c r="I63" s="34" t="n">
        <x:v>6.12</x:v>
      </x:c>
      <x:c r="J63" s="34" t="n">
        <x:v>14.39</x:v>
      </x:c>
      <x:c r="K63" s="34" t="n">
        <x:v>41.06</x:v>
      </x:c>
      <x:c r="L63" s="34" t="n">
        <x:v>2.85</x:v>
      </x:c>
      <x:c r="M63" s="34" t="n">
        <x:v>497.2495744840143</x:v>
      </x:c>
      <x:c r="N63" s="34" t="n">
        <x:v>16.384328551037033</x:v>
      </x:c>
      <x:c r="O63" s="34" t="n">
        <x:v>1.8140787459002066</x:v>
      </x:c>
      <x:c r="P63" s="34" t="n">
        <x:v>22.883333206176758</x:v>
      </x:c>
      <x:c r="Q63" s="12" t="n">
        <x:v>1647</x:v>
      </x:c>
      <x:c r="R63" s="34" t="n">
        <x:v>944.8277441211122</x:v>
      </x:c>
      <x:c r="S63" s="34" t="n">
        <x:v>1762.5170996602003</x:v>
      </x:c>
      <x:c r="T63" s="2"/>
      <x:c r="U63" s="2"/>
      <x:c r="V63" s="2"/>
    </x:row>
    <x:row r="64" ht="24" customHeight="1">
      <x:c r="A64" s="2" t="str">
        <x:v>GQ40</x:v>
      </x:c>
      <x:c r="B64" s="2" t="str">
        <x:v>GQ</x:v>
      </x:c>
      <x:c r="C64" s="19" t="n">
        <x:v>0.614</x:v>
      </x:c>
      <x:c r="D64" s="19" t="n">
        <x:v>76.82</x:v>
      </x:c>
      <x:c r="E64" s="19" t="n">
        <x:v>127.94</x:v>
      </x:c>
      <x:c r="F64" s="38" t="n">
        <x:v>21.528044263</x:v>
      </x:c>
      <x:c r="G64" s="38" t="n">
        <x:v>109.796509187</x:v>
      </x:c>
      <x:c r="H64" s="11" t="n">
        <x:v>16</x:v>
      </x:c>
      <x:c r="I64" s="19" t="n">
        <x:v>6.61</x:v>
      </x:c>
      <x:c r="J64" s="19" t="n">
        <x:v>16.24</x:v>
      </x:c>
      <x:c r="K64" s="19" t="n">
        <x:v>51.53</x:v>
      </x:c>
      <x:c r="L64" s="19" t="n">
        <x:v>3.17</x:v>
      </x:c>
      <x:c r="M64" s="19" t="n">
        <x:v>491.88286188220235</x:v>
      </x:c>
      <x:c r="N64" s="19" t="n">
        <x:v>14.369763973665433</x:v>
      </x:c>
      <x:c r="O64" s="19" t="n">
        <x:v>1.883234220026096</x:v>
      </x:c>
      <x:c r="P64" s="19" t="n">
        <x:v>22.875</x:v>
      </x:c>
      <x:c r="Q64" s="11" t="n">
        <x:v>1646</x:v>
      </x:c>
      <x:c r="R64" s="19" t="n">
        <x:v>315.6494961705557</x:v>
      </x:c>
      <x:c r="S64" s="19" t="n">
        <x:v>2043.566543322877</x:v>
      </x:c>
      <x:c r="T64" s="2"/>
      <x:c r="U64" s="2"/>
      <x:c r="V64" s="2"/>
    </x:row>
    <x:row r="65" ht="24" customHeight="1">
      <x:c r="A65" s="10" t="str">
        <x:v>GQ41</x:v>
      </x:c>
      <x:c r="B65" s="10" t="str">
        <x:v>GQ</x:v>
      </x:c>
      <x:c r="C65" s="34" t="n">
        <x:v>0.768</x:v>
      </x:c>
      <x:c r="D65" s="34" t="n">
        <x:v>71.02</x:v>
      </x:c>
      <x:c r="E65" s="34" t="n">
        <x:v>91.38</x:v>
      </x:c>
      <x:c r="F65" s="39" t="n">
        <x:v>21.543067405</x:v>
      </x:c>
      <x:c r="G65" s="39" t="n">
        <x:v>109.772183139</x:v>
      </x:c>
      <x:c r="H65" s="12" t="n">
        <x:v>20</x:v>
      </x:c>
      <x:c r="I65" s="34" t="n">
        <x:v>6.79</x:v>
      </x:c>
      <x:c r="J65" s="34" t="n">
        <x:v>13.22</x:v>
      </x:c>
      <x:c r="K65" s="34" t="n">
        <x:v>27.87</x:v>
      </x:c>
      <x:c r="L65" s="34" t="n">
        <x:v>2.11</x:v>
      </x:c>
      <x:c r="M65" s="34" t="n">
        <x:v>472.407216724668</x:v>
      </x:c>
      <x:c r="N65" s="34" t="n">
        <x:v>18.492377682830266</x:v>
      </x:c>
      <x:c r="O65" s="34" t="n">
        <x:v>2.13471338286418</x:v>
      </x:c>
      <x:c r="P65" s="34" t="n">
        <x:v>22.879165649414062</x:v>
      </x:c>
      <x:c r="Q65" s="12" t="n">
        <x:v>1650</x:v>
      </x:c>
      <x:c r="R65" s="34" t="n">
        <x:v>471.1200572328488</x:v>
      </x:c>
      <x:c r="S65" s="34" t="n">
        <x:v>1403.4924314085802</x:v>
      </x:c>
      <x:c r="T65" s="2"/>
      <x:c r="U65" s="2"/>
      <x:c r="V65" s="2"/>
    </x:row>
    <x:row r="66" ht="24" customHeight="1">
      <x:c r="A66" s="2" t="str">
        <x:v>GQ42</x:v>
      </x:c>
      <x:c r="B66" s="2" t="str">
        <x:v>GQ</x:v>
      </x:c>
      <x:c r="C66" s="19" t="n">
        <x:v>0.788</x:v>
      </x:c>
      <x:c r="D66" s="19" t="n">
        <x:v>70.25</x:v>
      </x:c>
      <x:c r="E66" s="19" t="n">
        <x:v>35.74</x:v>
      </x:c>
      <x:c r="F66" s="38" t="n">
        <x:v>21.5437491010001</x:v>
      </x:c>
      <x:c r="G66" s="38" t="n">
        <x:v>109.771615547</x:v>
      </x:c>
      <x:c r="H66" s="11" t="n">
        <x:v>20</x:v>
      </x:c>
      <x:c r="I66" s="19" t="n">
        <x:v>6.09</x:v>
      </x:c>
      <x:c r="J66" s="19" t="n">
        <x:v>13.57</x:v>
      </x:c>
      <x:c r="K66" s="19" t="n">
        <x:v>31.72</x:v>
      </x:c>
      <x:c r="L66" s="19" t="n">
        <x:v>2.34</x:v>
      </x:c>
      <x:c r="M66" s="19" t="n">
        <x:v>458.645231159084</x:v>
      </x:c>
      <x:c r="N66" s="19" t="n">
        <x:v>12.11745821118694</x:v>
      </x:c>
      <x:c r="O66" s="19" t="n">
        <x:v>1.9867989839244065</x:v>
      </x:c>
      <x:c r="P66" s="19" t="n">
        <x:v>22.879165649414062</x:v>
      </x:c>
      <x:c r="Q66" s="11" t="n">
        <x:v>1650</x:v>
      </x:c>
      <x:c r="R66" s="19" t="n">
        <x:v>498.8118176454186</x:v>
      </x:c>
      <x:c r="S66" s="19" t="n">
        <x:v>1495.382056210095</x:v>
      </x:c>
      <x:c r="T66" s="2"/>
      <x:c r="U66" s="2"/>
      <x:c r="V66" s="2"/>
    </x:row>
    <x:row r="67" ht="24" customHeight="1">
      <x:c r="A67" s="10" t="str">
        <x:v>GQ43</x:v>
      </x:c>
      <x:c r="B67" s="10" t="str">
        <x:v>GQ</x:v>
      </x:c>
      <x:c r="C67" s="34" t="n">
        <x:v>0.597</x:v>
      </x:c>
      <x:c r="D67" s="34" t="n">
        <x:v>77.49</x:v>
      </x:c>
      <x:c r="E67" s="34" t="n">
        <x:v>124.61</x:v>
      </x:c>
      <x:c r="F67" s="39" t="n">
        <x:v>21.5447275230001</x:v>
      </x:c>
      <x:c r="G67" s="39" t="n">
        <x:v>109.77082234</x:v>
      </x:c>
      <x:c r="H67" s="12" t="n">
        <x:v>20</x:v>
      </x:c>
      <x:c r="I67" s="34" t="n">
        <x:v>6.57</x:v>
      </x:c>
      <x:c r="J67" s="34" t="n">
        <x:v>14.22</x:v>
      </x:c>
      <x:c r="K67" s="34" t="n">
        <x:v>35.49</x:v>
      </x:c>
      <x:c r="L67" s="34" t="n">
        <x:v>2.5</x:v>
      </x:c>
      <x:c r="M67" s="34" t="n">
        <x:v>466.29133332856304</x:v>
      </x:c>
      <x:c r="N67" s="34" t="n">
        <x:v>19.416091207327753</x:v>
      </x:c>
      <x:c r="O67" s="34" t="n">
        <x:v>2.92254450095886</x:v>
      </x:c>
      <x:c r="P67" s="34" t="n">
        <x:v>22.879165649414062</x:v>
      </x:c>
      <x:c r="Q67" s="12" t="n">
        <x:v>1650</x:v>
      </x:c>
      <x:c r="R67" s="34" t="n">
        <x:v>494.20329663068986</x:v>
      </x:c>
      <x:c r="S67" s="34" t="n">
        <x:v>1550.2579229066557</x:v>
      </x:c>
      <x:c r="T67" s="2"/>
      <x:c r="U67" s="2"/>
      <x:c r="V67" s="2"/>
    </x:row>
    <x:row r="68" ht="24" customHeight="1">
      <x:c r="A68" s="2" t="str">
        <x:v>GQ44</x:v>
      </x:c>
      <x:c r="B68" s="2" t="str">
        <x:v>GQ</x:v>
      </x:c>
      <x:c r="C68" s="19" t="n">
        <x:v>0.638</x:v>
      </x:c>
      <x:c r="D68" s="19" t="n">
        <x:v>75.92</x:v>
      </x:c>
      <x:c r="E68" s="19" t="n">
        <x:v>110</x:v>
      </x:c>
      <x:c r="F68" s="38" t="n">
        <x:v>21.5457178510001</x:v>
      </x:c>
      <x:c r="G68" s="38" t="n">
        <x:v>109.769917727</x:v>
      </x:c>
      <x:c r="H68" s="11" t="n">
        <x:v>20</x:v>
      </x:c>
      <x:c r="I68" s="19" t="n">
        <x:v>6.83</x:v>
      </x:c>
      <x:c r="J68" s="19" t="n">
        <x:v>13.33</x:v>
      </x:c>
      <x:c r="K68" s="19" t="n">
        <x:v>25.82</x:v>
      </x:c>
      <x:c r="L68" s="19" t="n">
        <x:v>1.94</x:v>
      </x:c>
      <x:c r="M68" s="19" t="n">
        <x:v>483.469037534687</x:v>
      </x:c>
      <x:c r="N68" s="19" t="n">
        <x:v>13.3380973080437</x:v>
      </x:c>
      <x:c r="O68" s="19" t="n">
        <x:v>1.276767421604215</x:v>
      </x:c>
      <x:c r="P68" s="19" t="n">
        <x:v>22.879165649414062</x:v>
      </x:c>
      <x:c r="Q68" s="11" t="n">
        <x:v>1650</x:v>
      </x:c>
      <x:c r="R68" s="19" t="n">
        <x:v>487.71610105016845</x:v>
      </x:c>
      <x:c r="S68" s="19" t="n">
        <x:v>1436.5767906997633</x:v>
      </x:c>
      <x:c r="T68" s="2"/>
      <x:c r="U68" s="2"/>
      <x:c r="V68" s="2"/>
    </x:row>
    <x:row r="69" ht="24" customHeight="1">
      <x:c r="A69" s="10" t="str">
        <x:v>GQ45</x:v>
      </x:c>
      <x:c r="B69" s="10" t="str">
        <x:v>GQ</x:v>
      </x:c>
      <x:c r="C69" s="34" t="n">
        <x:v>0.772</x:v>
      </x:c>
      <x:c r="D69" s="34" t="n">
        <x:v>70.85</x:v>
      </x:c>
      <x:c r="E69" s="34" t="n">
        <x:v>77.35</x:v>
      </x:c>
      <x:c r="F69" s="39" t="n">
        <x:v>21.5487010040001</x:v>
      </x:c>
      <x:c r="G69" s="39" t="n">
        <x:v>109.752252993</x:v>
      </x:c>
      <x:c r="H69" s="12" t="n">
        <x:v>21</x:v>
      </x:c>
      <x:c r="I69" s="34" t="n">
        <x:v>6.18</x:v>
      </x:c>
      <x:c r="J69" s="34" t="n">
        <x:v>13.59</x:v>
      </x:c>
      <x:c r="K69" s="34" t="n">
        <x:v>22.42</x:v>
      </x:c>
      <x:c r="L69" s="34" t="n">
        <x:v>1.65</x:v>
      </x:c>
      <x:c r="M69" s="34" t="n">
        <x:v>472.35005143237447</x:v>
      </x:c>
      <x:c r="N69" s="34" t="n">
        <x:v>18.072242759465098</x:v>
      </x:c>
      <x:c r="O69" s="34" t="n">
        <x:v>2.15192265379738</x:v>
      </x:c>
      <x:c r="P69" s="34" t="n">
        <x:v>22.91666603088379</x:v>
      </x:c>
      <x:c r="Q69" s="12" t="n">
        <x:v>1646</x:v>
      </x:c>
      <x:c r="R69" s="34" t="n">
        <x:v>324.8446869380048</x:v>
      </x:c>
      <x:c r="S69" s="34" t="n">
        <x:v>423.04300516418743</x:v>
      </x:c>
      <x:c r="T69" s="2"/>
      <x:c r="U69" s="2"/>
      <x:c r="V69" s="2"/>
    </x:row>
    <x:row r="70" ht="24" customHeight="1">
      <x:c r="A70" s="2" t="str">
        <x:v>GQ46</x:v>
      </x:c>
      <x:c r="B70" s="2" t="str">
        <x:v>GQ</x:v>
      </x:c>
      <x:c r="C70" s="19" t="n">
        <x:v>0.643</x:v>
      </x:c>
      <x:c r="D70" s="19" t="n">
        <x:v>75.74</x:v>
      </x:c>
      <x:c r="E70" s="19" t="n">
        <x:v>116.17</x:v>
      </x:c>
      <x:c r="F70" s="38" t="n">
        <x:v>21.5498938550001</x:v>
      </x:c>
      <x:c r="G70" s="38" t="n">
        <x:v>109.751693673</x:v>
      </x:c>
      <x:c r="H70" s="11" t="n">
        <x:v>16</x:v>
      </x:c>
      <x:c r="I70" s="19" t="n">
        <x:v>6.41</x:v>
      </x:c>
      <x:c r="J70" s="19" t="n">
        <x:v>16</x:v>
      </x:c>
      <x:c r="K70" s="19" t="n">
        <x:v>39.31</x:v>
      </x:c>
      <x:c r="L70" s="19" t="n">
        <x:v>2.46</x:v>
      </x:c>
      <x:c r="M70" s="19" t="n">
        <x:v>501.429014533853</x:v>
      </x:c>
      <x:c r="N70" s="19" t="n">
        <x:v>17.5344129554656</x:v>
      </x:c>
      <x:c r="O70" s="19" t="n">
        <x:v>2.09947946790052</x:v>
      </x:c>
      <x:c r="P70" s="19" t="n">
        <x:v>22.91666603088379</x:v>
      </x:c>
      <x:c r="Q70" s="11" t="n">
        <x:v>1646</x:v>
      </x:c>
      <x:c r="R70" s="19" t="n">
        <x:v>382.77702794322363</x:v>
      </x:c>
      <x:c r="S70" s="19" t="n">
        <x:v>520.2691653461011</x:v>
      </x:c>
      <x:c r="T70" s="2"/>
      <x:c r="U70" s="2"/>
      <x:c r="V70" s="2"/>
    </x:row>
    <x:row r="71" ht="24" customHeight="1">
      <x:c r="A71" s="10" t="str">
        <x:v>GQ47</x:v>
      </x:c>
      <x:c r="B71" s="10" t="str">
        <x:v>GQ</x:v>
      </x:c>
      <x:c r="C71" s="34" t="n">
        <x:v>0.494</x:v>
      </x:c>
      <x:c r="D71" s="34" t="n">
        <x:v>81.35</x:v>
      </x:c>
      <x:c r="E71" s="34" t="n">
        <x:v>154.96</x:v>
      </x:c>
      <x:c r="F71" s="39" t="n">
        <x:v>21.550465783</x:v>
      </x:c>
      <x:c r="G71" s="39" t="n">
        <x:v>109.751597955</x:v>
      </x:c>
      <x:c r="H71" s="12" t="n">
        <x:v>16</x:v>
      </x:c>
      <x:c r="I71" s="34" t="n">
        <x:v>6.6</x:v>
      </x:c>
      <x:c r="J71" s="34" t="n">
        <x:v>14.06</x:v>
      </x:c>
      <x:c r="K71" s="34" t="n">
        <x:v>31.46</x:v>
      </x:c>
      <x:c r="L71" s="34" t="n">
        <x:v>2.24</x:v>
      </x:c>
      <x:c r="M71" s="34" t="n">
        <x:v>519.6921560035055</x:v>
      </x:c>
      <x:c r="N71" s="34" t="n">
        <x:v>15.9284848252312</x:v>
      </x:c>
      <x:c r="O71" s="34" t="n">
        <x:v>1.764659280006705</x:v>
      </x:c>
      <x:c r="P71" s="34" t="n">
        <x:v>22.91666603088379</x:v>
      </x:c>
      <x:c r="Q71" s="12" t="n">
        <x:v>1646</x:v>
      </x:c>
      <x:c r="R71" s="34" t="n">
        <x:v>382.5375110109022</x:v>
      </x:c>
      <x:c r="S71" s="34" t="n">
        <x:v>514.080121277175</x:v>
      </x:c>
      <x:c r="T71" s="2"/>
      <x:c r="U71" s="2"/>
      <x:c r="V71" s="2"/>
    </x:row>
    <x:row r="72" ht="24" customHeight="1">
      <x:c r="A72" s="2" t="str">
        <x:v>GQ48</x:v>
      </x:c>
      <x:c r="B72" s="2" t="str">
        <x:v>GQ</x:v>
      </x:c>
      <x:c r="C72" s="19" t="n">
        <x:v>0.541</x:v>
      </x:c>
      <x:c r="D72" s="19" t="n">
        <x:v>79.59</x:v>
      </x:c>
      <x:c r="E72" s="19" t="n">
        <x:v>127.4</x:v>
      </x:c>
      <x:c r="F72" s="38" t="n">
        <x:v>21.5510652040001</x:v>
      </x:c>
      <x:c r="G72" s="38" t="n">
        <x:v>109.75158635</x:v>
      </x:c>
      <x:c r="H72" s="11" t="n">
        <x:v>20</x:v>
      </x:c>
      <x:c r="I72" s="19" t="n">
        <x:v>6.49</x:v>
      </x:c>
      <x:c r="J72" s="19" t="n">
        <x:v>16.15</x:v>
      </x:c>
      <x:c r="K72" s="19" t="n">
        <x:v>38.46</x:v>
      </x:c>
      <x:c r="L72" s="19" t="n">
        <x:v>2.38</x:v>
      </x:c>
      <x:c r="M72" s="19" t="n">
        <x:v>491.3649347866767</x:v>
      </x:c>
      <x:c r="N72" s="19" t="n">
        <x:v>15.943425579166233</x:v>
      </x:c>
      <x:c r="O72" s="19" t="n">
        <x:v>2.063596441387443</x:v>
      </x:c>
      <x:c r="P72" s="19" t="n">
        <x:v>22.91666603088379</x:v>
      </x:c>
      <x:c r="Q72" s="11" t="n">
        <x:v>1646</x:v>
      </x:c>
      <x:c r="R72" s="19" t="n">
        <x:v>348.6916707786613</x:v>
      </x:c>
      <x:c r="S72" s="19" t="n">
        <x:v>496.05212653165256</x:v>
      </x:c>
      <x:c r="T72" s="2"/>
      <x:c r="U72" s="2"/>
      <x:c r="V72" s="2"/>
    </x:row>
    <x:row r="73" ht="24" customHeight="1">
      <x:c r="A73" s="10" t="str">
        <x:v>GQ49</x:v>
      </x:c>
      <x:c r="B73" s="10" t="str">
        <x:v>GQ</x:v>
      </x:c>
      <x:c r="C73" s="34" t="n">
        <x:v>0.619</x:v>
      </x:c>
      <x:c r="D73" s="34" t="n">
        <x:v>76.66</x:v>
      </x:c>
      <x:c r="E73" s="34" t="n">
        <x:v>106.92</x:v>
      </x:c>
      <x:c r="F73" s="39" t="n">
        <x:v>21.5554530150001</x:v>
      </x:c>
      <x:c r="G73" s="39" t="n">
        <x:v>109.748621106</x:v>
      </x:c>
      <x:c r="H73" s="12" t="n">
        <x:v>15</x:v>
      </x:c>
      <x:c r="I73" s="34" t="n">
        <x:v>6.22</x:v>
      </x:c>
      <x:c r="J73" s="34" t="n">
        <x:v>14.75</x:v>
      </x:c>
      <x:c r="K73" s="34" t="n">
        <x:v>25.31</x:v>
      </x:c>
      <x:c r="L73" s="34" t="n">
        <x:v>1.72</x:v>
      </x:c>
      <x:c r="M73" s="34" t="n">
        <x:v>479.3628531356445</x:v>
      </x:c>
      <x:c r="N73" s="34" t="n">
        <x:v>19.44127380809575</x:v>
      </x:c>
      <x:c r="O73" s="34" t="n">
        <x:v>2.789351389055495</x:v>
      </x:c>
      <x:c r="P73" s="34" t="n">
        <x:v>22.866666793823242</x:v>
      </x:c>
      <x:c r="Q73" s="12" t="n">
        <x:v>1641</x:v>
      </x:c>
      <x:c r="R73" s="34" t="n">
        <x:v>378.1864524738617</x:v>
      </x:c>
      <x:c r="S73" s="34" t="n">
        <x:v>873.8716607270005</x:v>
      </x:c>
      <x:c r="T73" s="2"/>
      <x:c r="U73" s="2"/>
      <x:c r="V73" s="2"/>
    </x:row>
    <x:row r="74" ht="24" customHeight="1">
      <x:c r="A74" s="2" t="str">
        <x:v>GQ50</x:v>
      </x:c>
      <x:c r="B74" s="2" t="str">
        <x:v>GQ</x:v>
      </x:c>
      <x:c r="C74" s="19" t="n">
        <x:v>0.567</x:v>
      </x:c>
      <x:c r="D74" s="19" t="n">
        <x:v>78.61</x:v>
      </x:c>
      <x:c r="E74" s="19" t="n">
        <x:v>111.71</x:v>
      </x:c>
      <x:c r="F74" s="38" t="n">
        <x:v>21.5561670490001</x:v>
      </x:c>
      <x:c r="G74" s="38" t="n">
        <x:v>109.74751012</x:v>
      </x:c>
      <x:c r="H74" s="11" t="n">
        <x:v>14</x:v>
      </x:c>
      <x:c r="I74" s="19" t="n">
        <x:v>6.37</x:v>
      </x:c>
      <x:c r="J74" s="19" t="n">
        <x:v>18.76</x:v>
      </x:c>
      <x:c r="K74" s="19" t="n">
        <x:v>59.63</x:v>
      </x:c>
      <x:c r="L74" s="19" t="n">
        <x:v>3.18</x:v>
      </x:c>
      <x:c r="M74" s="19" t="n">
        <x:v>495.26944583740453</x:v>
      </x:c>
      <x:c r="N74" s="19" t="n">
        <x:v>12.687031951304501</x:v>
      </x:c>
      <x:c r="O74" s="19" t="n">
        <x:v>1.55571495911299</x:v>
      </x:c>
      <x:c r="P74" s="19" t="n">
        <x:v>22.866666793823242</x:v>
      </x:c>
      <x:c r="Q74" s="11" t="n">
        <x:v>1641</x:v>
      </x:c>
      <x:c r="R74" s="19" t="n">
        <x:v>473.4241992130619</x:v>
      </x:c>
      <x:c r="S74" s="19" t="n">
        <x:v>1011.9354825659641</x:v>
      </x:c>
      <x:c r="T74" s="2"/>
      <x:c r="U74" s="2"/>
      <x:c r="V74" s="2"/>
    </x:row>
    <x:row r="75" ht="24" customHeight="1">
      <x:c r="A75" s="10" t="str">
        <x:v>GQ51</x:v>
      </x:c>
      <x:c r="B75" s="10" t="str">
        <x:v>GQ</x:v>
      </x:c>
      <x:c r="C75" s="34" t="n">
        <x:v>0.658</x:v>
      </x:c>
      <x:c r="D75" s="34" t="n">
        <x:v>75.18</x:v>
      </x:c>
      <x:c r="E75" s="34" t="n">
        <x:v>117.46</x:v>
      </x:c>
      <x:c r="F75" s="39" t="n">
        <x:v>21.5565875140001</x:v>
      </x:c>
      <x:c r="G75" s="39" t="n">
        <x:v>109.747538545</x:v>
      </x:c>
      <x:c r="H75" s="12" t="n">
        <x:v>18</x:v>
      </x:c>
      <x:c r="I75" s="34" t="n">
        <x:v>6.4</x:v>
      </x:c>
      <x:c r="J75" s="34" t="n">
        <x:v>15.92</x:v>
      </x:c>
      <x:c r="K75" s="34" t="n">
        <x:v>37.53</x:v>
      </x:c>
      <x:c r="L75" s="34" t="n">
        <x:v>2.36</x:v>
      </x:c>
      <x:c r="M75" s="34" t="n">
        <x:v>481.7416682149485</x:v>
      </x:c>
      <x:c r="N75" s="34" t="n">
        <x:v>16.51411165703505</x:v>
      </x:c>
      <x:c r="O75" s="34" t="n">
        <x:v>1.7478124354944349</x:v>
      </x:c>
      <x:c r="P75" s="34" t="n">
        <x:v>22.866666793823242</x:v>
      </x:c>
      <x:c r="Q75" s="12" t="n">
        <x:v>1641</x:v>
      </x:c>
      <x:c r="R75" s="34" t="n">
        <x:v>467.93019979935394</x:v>
      </x:c>
      <x:c r="S75" s="34" t="n">
        <x:v>1031.0005992178653</x:v>
      </x:c>
      <x:c r="T75" s="2"/>
      <x:c r="U75" s="2"/>
      <x:c r="V75" s="2"/>
    </x:row>
    <x:row r="76" ht="24" customHeight="1">
      <x:c r="A76" s="2" t="str">
        <x:v>GQ52</x:v>
      </x:c>
      <x:c r="B76" s="2" t="str">
        <x:v>GQ</x:v>
      </x:c>
      <x:c r="C76" s="19" t="n">
        <x:v>0.594</x:v>
      </x:c>
      <x:c r="D76" s="19" t="n">
        <x:v>77.58</x:v>
      </x:c>
      <x:c r="E76" s="19" t="n">
        <x:v>134.01</x:v>
      </x:c>
      <x:c r="F76" s="38" t="n">
        <x:v>21.5578307320001</x:v>
      </x:c>
      <x:c r="G76" s="38" t="n">
        <x:v>109.76526065</x:v>
      </x:c>
      <x:c r="H76" s="11" t="n">
        <x:v>17</x:v>
      </x:c>
      <x:c r="I76" s="19" t="n">
        <x:v>6.46</x:v>
      </x:c>
      <x:c r="J76" s="19" t="n">
        <x:v>20.68</x:v>
      </x:c>
      <x:c r="K76" s="19" t="n">
        <x:v>62.27</x:v>
      </x:c>
      <x:c r="L76" s="19" t="n">
        <x:v>3.01</x:v>
      </x:c>
      <x:c r="M76" s="19" t="n">
        <x:v>495.150252490411</x:v>
      </x:c>
      <x:c r="N76" s="19" t="n">
        <x:v>15.5222672064777</x:v>
      </x:c>
      <x:c r="O76" s="19" t="n">
        <x:v>2.34239444765761</x:v>
      </x:c>
      <x:c r="P76" s="19" t="n">
        <x:v>22.90833282470703</x:v>
      </x:c>
      <x:c r="Q76" s="11" t="n">
        <x:v>1647</x:v>
      </x:c>
      <x:c r="R76" s="19" t="n">
        <x:v>362.8979866812935</x:v>
      </x:c>
      <x:c r="S76" s="19" t="n">
        <x:v>1129.6449314753143</x:v>
      </x:c>
      <x:c r="T76" s="2"/>
      <x:c r="U76" s="2"/>
      <x:c r="V76" s="2"/>
    </x:row>
    <x:row r="77" ht="24" customHeight="1">
      <x:c r="A77" s="10" t="str">
        <x:v>GQ53</x:v>
      </x:c>
      <x:c r="B77" s="10" t="str">
        <x:v>GQ</x:v>
      </x:c>
      <x:c r="C77" s="34" t="n">
        <x:v>0.495</x:v>
      </x:c>
      <x:c r="D77" s="34" t="n">
        <x:v>81.31</x:v>
      </x:c>
      <x:c r="E77" s="34" t="n">
        <x:v>154.44</x:v>
      </x:c>
      <x:c r="F77" s="39" t="n">
        <x:v>21.5578651330001</x:v>
      </x:c>
      <x:c r="G77" s="39" t="n">
        <x:v>109.7475488</x:v>
      </x:c>
      <x:c r="H77" s="12" t="n">
        <x:v>15</x:v>
      </x:c>
      <x:c r="I77" s="34" t="n">
        <x:v>6.31</x:v>
      </x:c>
      <x:c r="J77" s="34" t="n">
        <x:v>20.34</x:v>
      </x:c>
      <x:c r="K77" s="34" t="n">
        <x:v>67.2</x:v>
      </x:c>
      <x:c r="L77" s="34" t="n">
        <x:v>3.3</x:v>
      </x:c>
      <x:c r="M77" s="34" t="n">
        <x:v>494.80941831402</x:v>
      </x:c>
      <x:c r="N77" s="34" t="n">
        <x:v>16.30421243107585</x:v>
      </x:c>
      <x:c r="O77" s="34" t="n">
        <x:v>1.61128764052954</x:v>
      </x:c>
      <x:c r="P77" s="34" t="n">
        <x:v>22.866666793823242</x:v>
      </x:c>
      <x:c r="Q77" s="12" t="n">
        <x:v>1641</x:v>
      </x:c>
      <x:c r="R77" s="34" t="n">
        <x:v>440.77851133319643</x:v>
      </x:c>
      <x:c r="S77" s="34" t="n">
        <x:v>1105.506587104358</x:v>
      </x:c>
      <x:c r="T77" s="2"/>
      <x:c r="U77" s="2"/>
      <x:c r="V77" s="2"/>
    </x:row>
    <x:row r="78" ht="24" customHeight="1">
      <x:c r="A78" s="2" t="str">
        <x:v>GQ54</x:v>
      </x:c>
      <x:c r="B78" s="2" t="str">
        <x:v>GQ</x:v>
      </x:c>
      <x:c r="C78" s="19" t="n">
        <x:v>0.546</x:v>
      </x:c>
      <x:c r="D78" s="19" t="n">
        <x:v>79.41</x:v>
      </x:c>
      <x:c r="E78" s="19" t="n">
        <x:v>145.6</x:v>
      </x:c>
      <x:c r="F78" s="38" t="n">
        <x:v>21.558411671</x:v>
      </x:c>
      <x:c r="G78" s="38" t="n">
        <x:v>109.764204463</x:v>
      </x:c>
      <x:c r="H78" s="11" t="n">
        <x:v>16</x:v>
      </x:c>
      <x:c r="I78" s="19" t="n">
        <x:v>6.37</x:v>
      </x:c>
      <x:c r="J78" s="19" t="n">
        <x:v>17.94</x:v>
      </x:c>
      <x:c r="K78" s="19" t="n">
        <x:v>49.15</x:v>
      </x:c>
      <x:c r="L78" s="19" t="n">
        <x:v>2.74</x:v>
      </x:c>
      <x:c r="M78" s="19" t="n">
        <x:v>503.788422730092</x:v>
      </x:c>
      <x:c r="N78" s="19" t="n">
        <x:v>15.3152362814719</x:v>
      </x:c>
      <x:c r="O78" s="19" t="n">
        <x:v>1.7398665805896298</x:v>
      </x:c>
      <x:c r="P78" s="19" t="n">
        <x:v>22.90833282470703</x:v>
      </x:c>
      <x:c r="Q78" s="11" t="n">
        <x:v>1647</x:v>
      </x:c>
      <x:c r="R78" s="19" t="n">
        <x:v>398.8446352705282</x:v>
      </x:c>
      <x:c r="S78" s="19" t="n">
        <x:v>1081.596493173955</x:v>
      </x:c>
      <x:c r="T78" s="2"/>
      <x:c r="U78" s="2"/>
      <x:c r="V78" s="2"/>
    </x:row>
    <x:row r="79" ht="24" customHeight="1">
      <x:c r="A79" s="10" t="str">
        <x:v>GQ55</x:v>
      </x:c>
      <x:c r="B79" s="10" t="str">
        <x:v>GQ</x:v>
      </x:c>
      <x:c r="C79" s="34" t="n">
        <x:v>0.536</x:v>
      </x:c>
      <x:c r="D79" s="34" t="n">
        <x:v>79.77</x:v>
      </x:c>
      <x:c r="E79" s="34" t="n">
        <x:v>161.1</x:v>
      </x:c>
      <x:c r="F79" s="39" t="n">
        <x:v>21.558946516</x:v>
      </x:c>
      <x:c r="G79" s="39" t="n">
        <x:v>109.762815126</x:v>
      </x:c>
      <x:c r="H79" s="12" t="n">
        <x:v>16</x:v>
      </x:c>
      <x:c r="I79" s="34" t="n">
        <x:v>6.43</x:v>
      </x:c>
      <x:c r="J79" s="34" t="n">
        <x:v>18.14</x:v>
      </x:c>
      <x:c r="K79" s="34" t="n">
        <x:v>45.84</x:v>
      </x:c>
      <x:c r="L79" s="34" t="n">
        <x:v>2.53</x:v>
      </x:c>
      <x:c r="M79" s="34" t="n">
        <x:v>506.83384927364045</x:v>
      </x:c>
      <x:c r="N79" s="34" t="n">
        <x:v>16.86317509596845</x:v>
      </x:c>
      <x:c r="O79" s="34" t="n">
        <x:v>1.9882880910683</x:v>
      </x:c>
      <x:c r="P79" s="34" t="n">
        <x:v>22.90833282470703</x:v>
      </x:c>
      <x:c r="Q79" s="12" t="n">
        <x:v>1647</x:v>
      </x:c>
      <x:c r="R79" s="34" t="n">
        <x:v>463.95953639839075</x:v>
      </x:c>
      <x:c r="S79" s="34" t="n">
        <x:v>1019.7579441738817</x:v>
      </x:c>
      <x:c r="T79" s="2"/>
      <x:c r="U79" s="2"/>
      <x:c r="V79" s="2"/>
    </x:row>
    <x:row r="80" ht="24" customHeight="1">
      <x:c r="A80" s="2" t="str">
        <x:v>GQ56</x:v>
      </x:c>
      <x:c r="B80" s="2" t="str">
        <x:v>GQ</x:v>
      </x:c>
      <x:c r="C80" s="19" t="n">
        <x:v>0.5</x:v>
      </x:c>
      <x:c r="D80" s="19" t="n">
        <x:v>81.12</x:v>
      </x:c>
      <x:c r="E80" s="19" t="n">
        <x:v>139.86</x:v>
      </x:c>
      <x:c r="F80" s="38" t="n">
        <x:v>21.5593477460001</x:v>
      </x:c>
      <x:c r="G80" s="38" t="n">
        <x:v>109.746175386</x:v>
      </x:c>
      <x:c r="H80" s="11" t="n">
        <x:v>16</x:v>
      </x:c>
      <x:c r="I80" s="19" t="n">
        <x:v>6.39</x:v>
      </x:c>
      <x:c r="J80" s="19" t="n">
        <x:v>16.93</x:v>
      </x:c>
      <x:c r="K80" s="19" t="n">
        <x:v>48.47</x:v>
      </x:c>
      <x:c r="L80" s="19" t="n">
        <x:v>2.86</x:v>
      </x:c>
      <x:c r="M80" s="19" t="n">
        <x:v>486.790440620087</x:v>
      </x:c>
      <x:c r="N80" s="19" t="n">
        <x:v>14.95274954273005</x:v>
      </x:c>
      <x:c r="O80" s="19" t="n">
        <x:v>1.78236931020224</x:v>
      </x:c>
      <x:c r="P80" s="19" t="n">
        <x:v>22.879167556762695</x:v>
      </x:c>
      <x:c r="Q80" s="11" t="n">
        <x:v>1641</x:v>
      </x:c>
      <x:c r="R80" s="19" t="n">
        <x:v>469.10543571462034</x:v>
      </x:c>
      <x:c r="S80" s="19" t="n">
        <x:v>1317.5502119415896</x:v>
      </x:c>
      <x:c r="T80" s="2"/>
      <x:c r="U80" s="2"/>
      <x:c r="V80" s="2"/>
    </x:row>
    <x:row r="81" ht="24" customHeight="1">
      <x:c r="A81" s="10" t="str">
        <x:v>GQ57</x:v>
      </x:c>
      <x:c r="B81" s="10" t="str">
        <x:v>GQ</x:v>
      </x:c>
      <x:c r="C81" s="34" t="n">
        <x:v>0.651</x:v>
      </x:c>
      <x:c r="D81" s="34" t="n">
        <x:v>75.42</x:v>
      </x:c>
      <x:c r="E81" s="34" t="n">
        <x:v>116.49</x:v>
      </x:c>
      <x:c r="F81" s="39" t="n">
        <x:v>21.560013704</x:v>
      </x:c>
      <x:c r="G81" s="39" t="n">
        <x:v>109.745842827</x:v>
      </x:c>
      <x:c r="H81" s="12" t="n">
        <x:v>26</x:v>
      </x:c>
      <x:c r="I81" s="34" t="n">
        <x:v>6.55</x:v>
      </x:c>
      <x:c r="J81" s="34" t="n">
        <x:v>19.02</x:v>
      </x:c>
      <x:c r="K81" s="34" t="n">
        <x:v>55.2</x:v>
      </x:c>
      <x:c r="L81" s="34" t="n">
        <x:v>2.9</x:v>
      </x:c>
      <x:c r="M81" s="34" t="n">
        <x:v>476.5280324034773</x:v>
      </x:c>
      <x:c r="N81" s="34" t="n">
        <x:v>13.153503043362369</x:v>
      </x:c>
      <x:c r="O81" s="34" t="n">
        <x:v>1.59815481581107</x:v>
      </x:c>
      <x:c r="P81" s="34" t="n">
        <x:v>22.879167556762695</x:v>
      </x:c>
      <x:c r="Q81" s="12" t="n">
        <x:v>1641</x:v>
      </x:c>
      <x:c r="R81" s="34" t="n">
        <x:v>482.39022053864096</x:v>
      </x:c>
      <x:c r="S81" s="34" t="n">
        <x:v>1390.3520850074972</x:v>
      </x:c>
      <x:c r="T81" s="2"/>
      <x:c r="U81" s="2"/>
      <x:c r="V81" s="2"/>
    </x:row>
    <x:row r="82" ht="24" customHeight="1">
      <x:c r="A82" s="2" t="str">
        <x:v>GQ58</x:v>
      </x:c>
      <x:c r="B82" s="2" t="str">
        <x:v>GQ</x:v>
      </x:c>
      <x:c r="C82" s="19" t="n">
        <x:v>0.565</x:v>
      </x:c>
      <x:c r="D82" s="19" t="n">
        <x:v>78.67</x:v>
      </x:c>
      <x:c r="E82" s="19" t="n">
        <x:v>151.24</x:v>
      </x:c>
      <x:c r="F82" s="38" t="n">
        <x:v>21.560058112</x:v>
      </x:c>
      <x:c r="G82" s="38" t="n">
        <x:v>109.76241415</x:v>
      </x:c>
      <x:c r="H82" s="11" t="n">
        <x:v>25</x:v>
      </x:c>
      <x:c r="I82" s="19" t="n">
        <x:v>6.57</x:v>
      </x:c>
      <x:c r="J82" s="19" t="n">
        <x:v>21.8</x:v>
      </x:c>
      <x:c r="K82" s="19" t="n">
        <x:v>61.27</x:v>
      </x:c>
      <x:c r="L82" s="19" t="n">
        <x:v>2.81</x:v>
      </x:c>
      <x:c r="M82" s="19" t="n">
        <x:v>470.17743755225825</x:v>
      </x:c>
      <x:c r="N82" s="19" t="n">
        <x:v>15.4442771381235</x:v>
      </x:c>
      <x:c r="O82" s="19" t="n">
        <x:v>1.81708845751207</x:v>
      </x:c>
      <x:c r="P82" s="19" t="n">
        <x:v>22.90833282470703</x:v>
      </x:c>
      <x:c r="Q82" s="11" t="n">
        <x:v>1647</x:v>
      </x:c>
      <x:c r="R82" s="19" t="n">
        <x:v>432.7666197648253</x:v>
      </x:c>
      <x:c r="S82" s="19" t="n">
        <x:v>1089.6616147207014</x:v>
      </x:c>
      <x:c r="T82" s="2"/>
      <x:c r="U82" s="2"/>
      <x:c r="V82" s="2"/>
    </x:row>
    <x:row r="83" ht="24" customHeight="1">
      <x:c r="A83" s="10" t="str">
        <x:v>GQ59</x:v>
      </x:c>
      <x:c r="B83" s="10" t="str">
        <x:v>GQ</x:v>
      </x:c>
      <x:c r="C83" s="34" t="n">
        <x:v>0.6</x:v>
      </x:c>
      <x:c r="D83" s="34" t="n">
        <x:v>77.35</x:v>
      </x:c>
      <x:c r="E83" s="34" t="n">
        <x:v>119.96</x:v>
      </x:c>
      <x:c r="F83" s="39" t="n">
        <x:v>21.5602688060001</x:v>
      </x:c>
      <x:c r="G83" s="39" t="n">
        <x:v>109.63520314</x:v>
      </x:c>
      <x:c r="H83" s="12" t="n">
        <x:v>24</x:v>
      </x:c>
      <x:c r="I83" s="34" t="n">
        <x:v>6.35</x:v>
      </x:c>
      <x:c r="J83" s="34" t="n">
        <x:v>14.43</x:v>
      </x:c>
      <x:c r="K83" s="34" t="n">
        <x:v>32.06</x:v>
      </x:c>
      <x:c r="L83" s="34" t="n">
        <x:v>2.22</x:v>
      </x:c>
      <x:c r="M83" s="34" t="n">
        <x:v>455.14286124885206</x:v>
      </x:c>
      <x:c r="N83" s="34" t="n">
        <x:v>17.9036301119035</x:v>
      </x:c>
      <x:c r="O83" s="34" t="n">
        <x:v>2.2469268486541165</x:v>
      </x:c>
      <x:c r="P83" s="34" t="n">
        <x:v>22.695833206176758</x:v>
      </x:c>
      <x:c r="Q83" s="12" t="n">
        <x:v>1630</x:v>
      </x:c>
      <x:c r="R83" s="34" t="n">
        <x:v>212.1185973511812</x:v>
      </x:c>
      <x:c r="S83" s="34" t="n">
        <x:v>4138.266826268486</x:v>
      </x:c>
      <x:c r="T83" s="2"/>
      <x:c r="U83" s="2"/>
      <x:c r="V83" s="2"/>
    </x:row>
    <x:row r="84" ht="24" customHeight="1">
      <x:c r="A84" s="2" t="str">
        <x:v>GQ60</x:v>
      </x:c>
      <x:c r="B84" s="2" t="str">
        <x:v>GQ</x:v>
      </x:c>
      <x:c r="C84" s="19" t="n">
        <x:v>0.642</x:v>
      </x:c>
      <x:c r="D84" s="19" t="n">
        <x:v>75.75</x:v>
      </x:c>
      <x:c r="E84" s="19" t="n">
        <x:v>119.46</x:v>
      </x:c>
      <x:c r="F84" s="38" t="n">
        <x:v>21.5602694360001</x:v>
      </x:c>
      <x:c r="G84" s="38" t="n">
        <x:v>109.636539072</x:v>
      </x:c>
      <x:c r="H84" s="11" t="n">
        <x:v>25</x:v>
      </x:c>
      <x:c r="I84" s="19" t="n">
        <x:v>6.6</x:v>
      </x:c>
      <x:c r="J84" s="19" t="n">
        <x:v>14.01</x:v>
      </x:c>
      <x:c r="K84" s="19" t="n">
        <x:v>32.06</x:v>
      </x:c>
      <x:c r="L84" s="19" t="n">
        <x:v>2.29</x:v>
      </x:c>
      <x:c r="M84" s="19" t="n">
        <x:v>454.59060170953927</x:v>
      </x:c>
      <x:c r="N84" s="19" t="n">
        <x:v>15.290883878166234</x:v>
      </x:c>
      <x:c r="O84" s="19" t="n">
        <x:v>1.9494384532626505</x:v>
      </x:c>
      <x:c r="P84" s="19" t="n">
        <x:v>22.695833206176758</x:v>
      </x:c>
      <x:c r="Q84" s="11" t="n">
        <x:v>1630</x:v>
      </x:c>
      <x:c r="R84" s="19" t="n">
        <x:v>143.0421655075485</x:v>
      </x:c>
      <x:c r="S84" s="19" t="n">
        <x:v>4225.438365909939</x:v>
      </x:c>
      <x:c r="T84" s="2"/>
      <x:c r="U84" s="2"/>
      <x:c r="V84" s="2"/>
    </x:row>
    <x:row r="85" ht="24" customHeight="1">
      <x:c r="A85" s="10" t="str">
        <x:v>GQ61</x:v>
      </x:c>
      <x:c r="B85" s="10" t="str">
        <x:v>GQ</x:v>
      </x:c>
      <x:c r="C85" s="34" t="n">
        <x:v>0.987</x:v>
      </x:c>
      <x:c r="D85" s="34" t="n">
        <x:v>62.77</x:v>
      </x:c>
      <x:c r="E85" s="34" t="n">
        <x:v>67.22</x:v>
      </x:c>
      <x:c r="F85" s="39" t="n">
        <x:v>21.5606566490001</x:v>
      </x:c>
      <x:c r="G85" s="39" t="n">
        <x:v>109.745793477</x:v>
      </x:c>
      <x:c r="H85" s="12" t="n">
        <x:v>25</x:v>
      </x:c>
      <x:c r="I85" s="34" t="n">
        <x:v>6.02</x:v>
      </x:c>
      <x:c r="J85" s="34" t="n">
        <x:v>22.73</x:v>
      </x:c>
      <x:c r="K85" s="34" t="n">
        <x:v>113.57</x:v>
      </x:c>
      <x:c r="L85" s="34" t="n">
        <x:v>5</x:v>
      </x:c>
      <x:c r="M85" s="34" t="n">
        <x:v>504.3657141135965</x:v>
      </x:c>
      <x:c r="N85" s="34" t="n">
        <x:v>12.714974889914451</x:v>
      </x:c>
      <x:c r="O85" s="34" t="n">
        <x:v>1.3403692734877248</x:v>
      </x:c>
      <x:c r="P85" s="34" t="n">
        <x:v>22.879167556762695</x:v>
      </x:c>
      <x:c r="Q85" s="12" t="n">
        <x:v>1641</x:v>
      </x:c>
      <x:c r="R85" s="34" t="n">
        <x:v>479.28676520972</x:v>
      </x:c>
      <x:c r="S85" s="34" t="n">
        <x:v>1440.2081300184323</x:v>
      </x:c>
      <x:c r="T85" s="2"/>
      <x:c r="U85" s="2"/>
      <x:c r="V85" s="2"/>
    </x:row>
    <x:row r="86" ht="24" customHeight="1">
      <x:c r="A86" s="2" t="str">
        <x:v>GQ62</x:v>
      </x:c>
      <x:c r="B86" s="2" t="str">
        <x:v>GQ</x:v>
      </x:c>
      <x:c r="C86" s="19" t="n">
        <x:v>0.824</x:v>
      </x:c>
      <x:c r="D86" s="19" t="n">
        <x:v>68.89</x:v>
      </x:c>
      <x:c r="E86" s="19" t="n">
        <x:v>81.93</x:v>
      </x:c>
      <x:c r="F86" s="38" t="n">
        <x:v>21.5608818320001</x:v>
      </x:c>
      <x:c r="G86" s="38" t="n">
        <x:v>109.633644419</x:v>
      </x:c>
      <x:c r="H86" s="11" t="n">
        <x:v>25</x:v>
      </x:c>
      <x:c r="I86" s="19" t="n">
        <x:v>6.34</x:v>
      </x:c>
      <x:c r="J86" s="19" t="n">
        <x:v>24.32</x:v>
      </x:c>
      <x:c r="K86" s="19" t="n">
        <x:v>77.74</x:v>
      </x:c>
      <x:c r="L86" s="19" t="n">
        <x:v>3.2</x:v>
      </x:c>
      <x:c r="M86" s="19" t="n">
        <x:v>517.410451299588</x:v>
      </x:c>
      <x:c r="N86" s="19" t="n">
        <x:v>14.5809360730594</x:v>
      </x:c>
      <x:c r="O86" s="19" t="n">
        <x:v>1.88926940639269</x:v>
      </x:c>
      <x:c r="P86" s="19" t="n">
        <x:v>22.695833206176758</x:v>
      </x:c>
      <x:c r="Q86" s="11" t="n">
        <x:v>1630</x:v>
      </x:c>
      <x:c r="R86" s="19" t="n">
        <x:v>257.1780015644083</x:v>
      </x:c>
      <x:c r="S86" s="19" t="n">
        <x:v>3985.7827266335607</x:v>
      </x:c>
      <x:c r="T86" s="2"/>
      <x:c r="U86" s="2"/>
      <x:c r="V86" s="2"/>
    </x:row>
    <x:row r="87" ht="24" customHeight="1">
      <x:c r="A87" s="10" t="str">
        <x:v>GQ63</x:v>
      </x:c>
      <x:c r="B87" s="10" t="str">
        <x:v>GQ</x:v>
      </x:c>
      <x:c r="C87" s="34" t="n">
        <x:v>0.674</x:v>
      </x:c>
      <x:c r="D87" s="34" t="n">
        <x:v>74.56</x:v>
      </x:c>
      <x:c r="E87" s="34" t="n">
        <x:v>104.69</x:v>
      </x:c>
      <x:c r="F87" s="39" t="n">
        <x:v>21.561392486</x:v>
      </x:c>
      <x:c r="G87" s="39" t="n">
        <x:v>109.762195782</x:v>
      </x:c>
      <x:c r="H87" s="12" t="n">
        <x:v>24</x:v>
      </x:c>
      <x:c r="I87" s="34" t="n">
        <x:v>6.73</x:v>
      </x:c>
      <x:c r="J87" s="34" t="n">
        <x:v>17.12</x:v>
      </x:c>
      <x:c r="K87" s="34" t="n">
        <x:v>33.66</x:v>
      </x:c>
      <x:c r="L87" s="34" t="n">
        <x:v>1.97</x:v>
      </x:c>
      <x:c r="M87" s="34" t="n">
        <x:v>475.732542985665</x:v>
      </x:c>
      <x:c r="N87" s="34" t="n">
        <x:v>16.2892344497608</x:v>
      </x:c>
      <x:c r="O87" s="34" t="n">
        <x:v>2.48205741626794</x:v>
      </x:c>
      <x:c r="P87" s="34" t="n">
        <x:v>22.90833282470703</x:v>
      </x:c>
      <x:c r="Q87" s="12" t="n">
        <x:v>1647</x:v>
      </x:c>
      <x:c r="R87" s="34" t="n">
        <x:v>395.2275605634149</x:v>
      </x:c>
      <x:c r="S87" s="34" t="n">
        <x:v>1200.7234161855833</x:v>
      </x:c>
      <x:c r="T87" s="2"/>
      <x:c r="U87" s="2"/>
      <x:c r="V87" s="2"/>
    </x:row>
    <x:row r="88" ht="24" customHeight="1">
      <x:c r="A88" s="2" t="str">
        <x:v>GQ64</x:v>
      </x:c>
      <x:c r="B88" s="2" t="str">
        <x:v>GQ</x:v>
      </x:c>
      <x:c r="C88" s="19" t="n">
        <x:v>0.713</x:v>
      </x:c>
      <x:c r="D88" s="19" t="n">
        <x:v>73.1</x:v>
      </x:c>
      <x:c r="E88" s="19" t="n">
        <x:v>101.99</x:v>
      </x:c>
      <x:c r="F88" s="38" t="n">
        <x:v>21.5626363270001</x:v>
      </x:c>
      <x:c r="G88" s="38" t="n">
        <x:v>109.74538497</x:v>
      </x:c>
      <x:c r="H88" s="11" t="n">
        <x:v>25</x:v>
      </x:c>
      <x:c r="I88" s="19" t="n">
        <x:v>6.35</x:v>
      </x:c>
      <x:c r="J88" s="19" t="n">
        <x:v>14.95</x:v>
      </x:c>
      <x:c r="K88" s="19" t="n">
        <x:v>26</x:v>
      </x:c>
      <x:c r="L88" s="19" t="n">
        <x:v>1.74</x:v>
      </x:c>
      <x:c r="M88" s="19" t="n">
        <x:v>492.1641479620487</x:v>
      </x:c>
      <x:c r="N88" s="19" t="n">
        <x:v>17.445684787630167</x:v>
      </x:c>
      <x:c r="O88" s="19" t="n">
        <x:v>1.7522929437579464</x:v>
      </x:c>
      <x:c r="P88" s="19" t="n">
        <x:v>22.879167556762695</x:v>
      </x:c>
      <x:c r="Q88" s="11" t="n">
        <x:v>1641</x:v>
      </x:c>
      <x:c r="R88" s="19" t="n">
        <x:v>522.1953223750377</x:v>
      </x:c>
      <x:c r="S88" s="19" t="n">
        <x:v>1622.2937473517848</x:v>
      </x:c>
      <x:c r="T88" s="2"/>
      <x:c r="U88" s="2"/>
      <x:c r="V88" s="2"/>
    </x:row>
    <x:row r="89" ht="24" customHeight="1">
      <x:c r="A89" s="10" t="str">
        <x:v>GQ65</x:v>
      </x:c>
      <x:c r="B89" s="10" t="str">
        <x:v>GQ</x:v>
      </x:c>
      <x:c r="C89" s="34" t="n">
        <x:v>0.428</x:v>
      </x:c>
      <x:c r="D89" s="34" t="n">
        <x:v>83.84</x:v>
      </x:c>
      <x:c r="E89" s="34" t="n">
        <x:v>198.93</x:v>
      </x:c>
      <x:c r="F89" s="39" t="n">
        <x:v>21.5627870760001</x:v>
      </x:c>
      <x:c r="G89" s="39" t="n">
        <x:v>109.631693401</x:v>
      </x:c>
      <x:c r="H89" s="12" t="n">
        <x:v>25</x:v>
      </x:c>
      <x:c r="I89" s="34" t="n">
        <x:v>5.87</x:v>
      </x:c>
      <x:c r="J89" s="34" t="n">
        <x:v>19.38</x:v>
      </x:c>
      <x:c r="K89" s="34" t="n">
        <x:v>195.21</x:v>
      </x:c>
      <x:c r="L89" s="34" t="n">
        <x:v>10.07</x:v>
      </x:c>
      <x:c r="M89" s="34" t="n">
        <x:v>503.87986384231937</x:v>
      </x:c>
      <x:c r="N89" s="34" t="n">
        <x:v>16.7151075868907</x:v>
      </x:c>
      <x:c r="O89" s="34" t="n">
        <x:v>1.68642635157716</x:v>
      </x:c>
      <x:c r="P89" s="34" t="n">
        <x:v>22.66666603088379</x:v>
      </x:c>
      <x:c r="Q89" s="12" t="n">
        <x:v>1627</x:v>
      </x:c>
      <x:c r="R89" s="34" t="n">
        <x:v>261.49874562584364</x:v>
      </x:c>
      <x:c r="S89" s="34" t="n">
        <x:v>3695.7740014419605</x:v>
      </x:c>
      <x:c r="T89" s="2"/>
      <x:c r="U89" s="2"/>
      <x:c r="V89" s="2"/>
    </x:row>
    <x:row r="90" ht="24" customHeight="1">
      <x:c r="A90" s="2" t="str">
        <x:v>GQ66</x:v>
      </x:c>
      <x:c r="B90" s="2" t="str">
        <x:v>GQ</x:v>
      </x:c>
      <x:c r="C90" s="19" t="n">
        <x:v>0.505</x:v>
      </x:c>
      <x:c r="D90" s="19" t="n">
        <x:v>80.96</x:v>
      </x:c>
      <x:c r="E90" s="19" t="n">
        <x:v>165.61</x:v>
      </x:c>
      <x:c r="F90" s="38" t="n">
        <x:v>21.5630104850001</x:v>
      </x:c>
      <x:c r="G90" s="38" t="n">
        <x:v>109.63020398</x:v>
      </x:c>
      <x:c r="H90" s="11" t="n">
        <x:v>25</x:v>
      </x:c>
      <x:c r="I90" s="19" t="n">
        <x:v>5.87</x:v>
      </x:c>
      <x:c r="J90" s="19" t="n">
        <x:v>15.8</x:v>
      </x:c>
      <x:c r="K90" s="19" t="n">
        <x:v>152.96</x:v>
      </x:c>
      <x:c r="L90" s="19" t="n">
        <x:v>9.68</x:v>
      </x:c>
      <x:c r="M90" s="19" t="n">
        <x:v>502.0868545228375</x:v>
      </x:c>
      <x:c r="N90" s="19" t="n">
        <x:v>16.55909561034275</x:v>
      </x:c>
      <x:c r="O90" s="19" t="n">
        <x:v>1.79727337642814</x:v>
      </x:c>
      <x:c r="P90" s="19" t="n">
        <x:v>22.66666603088379</x:v>
      </x:c>
      <x:c r="Q90" s="11" t="n">
        <x:v>1627</x:v>
      </x:c>
      <x:c r="R90" s="19" t="n">
        <x:v>355.1483970328394</x:v>
      </x:c>
      <x:c r="S90" s="19" t="n">
        <x:v>3585.603697718838</x:v>
      </x:c>
      <x:c r="T90" s="2"/>
      <x:c r="U90" s="2"/>
      <x:c r="V90" s="2"/>
    </x:row>
    <x:row r="91" ht="24" customHeight="1">
      <x:c r="A91" s="10" t="str">
        <x:v>GQ67</x:v>
      </x:c>
      <x:c r="B91" s="10" t="str">
        <x:v>GQ</x:v>
      </x:c>
      <x:c r="C91" s="34" t="n">
        <x:v>0.553</x:v>
      </x:c>
      <x:c r="D91" s="34" t="n">
        <x:v>79.12</x:v>
      </x:c>
      <x:c r="E91" s="34" t="n">
        <x:v>147.65</x:v>
      </x:c>
      <x:c r="F91" s="39" t="n">
        <x:v>21.5639103820001</x:v>
      </x:c>
      <x:c r="G91" s="39" t="n">
        <x:v>109.763544765</x:v>
      </x:c>
      <x:c r="H91" s="12" t="n">
        <x:v>25</x:v>
      </x:c>
      <x:c r="I91" s="34" t="n">
        <x:v>6.59</x:v>
      </x:c>
      <x:c r="J91" s="34" t="n">
        <x:v>23.62</x:v>
      </x:c>
      <x:c r="K91" s="34" t="n">
        <x:v>79.22</x:v>
      </x:c>
      <x:c r="L91" s="34" t="n">
        <x:v>3.35</x:v>
      </x:c>
      <x:c r="M91" s="34" t="n">
        <x:v>505.2590507198755</x:v>
      </x:c>
      <x:c r="N91" s="34" t="n">
        <x:v>19.25609367204735</x:v>
      </x:c>
      <x:c r="O91" s="34" t="n">
        <x:v>1.69789124051175</x:v>
      </x:c>
      <x:c r="P91" s="34" t="n">
        <x:v>22.90833282470703</x:v>
      </x:c>
      <x:c r="Q91" s="12" t="n">
        <x:v>1647</x:v>
      </x:c>
      <x:c r="R91" s="34" t="n">
        <x:v>193.91288864533652</x:v>
      </x:c>
      <x:c r="S91" s="34" t="n">
        <x:v>1511.891145316086</x:v>
      </x:c>
      <x:c r="T91" s="2"/>
      <x:c r="U91" s="2"/>
      <x:c r="V91" s="2"/>
    </x:row>
    <x:row r="92" ht="24" customHeight="1">
      <x:c r="A92" s="2" t="str">
        <x:v>GQ68</x:v>
      </x:c>
      <x:c r="B92" s="2" t="str">
        <x:v>GQ</x:v>
      </x:c>
      <x:c r="C92" s="19" t="n">
        <x:v>0.589</x:v>
      </x:c>
      <x:c r="D92" s="19" t="n">
        <x:v>77.77</x:v>
      </x:c>
      <x:c r="E92" s="19" t="n">
        <x:v>132.6</x:v>
      </x:c>
      <x:c r="F92" s="38" t="n">
        <x:v>21.5650666340001</x:v>
      </x:c>
      <x:c r="G92" s="38" t="n">
        <x:v>109.763827291</x:v>
      </x:c>
      <x:c r="H92" s="11" t="n">
        <x:v>25</x:v>
      </x:c>
      <x:c r="I92" s="19" t="n">
        <x:v>6.29</x:v>
      </x:c>
      <x:c r="J92" s="19" t="n">
        <x:v>23.84</x:v>
      </x:c>
      <x:c r="K92" s="19" t="n">
        <x:v>87.7</x:v>
      </x:c>
      <x:c r="L92" s="19" t="n">
        <x:v>3.68</x:v>
      </x:c>
      <x:c r="M92" s="19" t="n">
        <x:v>483.86513574727604</x:v>
      </x:c>
      <x:c r="N92" s="19" t="n">
        <x:v>15.575637674592132</x:v>
      </x:c>
      <x:c r="O92" s="19" t="n">
        <x:v>1.8151630168321164</x:v>
      </x:c>
      <x:c r="P92" s="19" t="n">
        <x:v>22.90833282470703</x:v>
      </x:c>
      <x:c r="Q92" s="11" t="n">
        <x:v>1647</x:v>
      </x:c>
      <x:c r="R92" s="19" t="n">
        <x:v>195.72033157956773</x:v>
      </x:c>
      <x:c r="S92" s="19" t="n">
        <x:v>1637.8595539256414</x:v>
      </x:c>
      <x:c r="T92" s="2"/>
      <x:c r="U92" s="2"/>
      <x:c r="V92" s="2"/>
    </x:row>
    <x:row r="93" ht="24" customHeight="1">
      <x:c r="A93" s="10" t="str">
        <x:v>GQ69</x:v>
      </x:c>
      <x:c r="B93" s="10" t="str">
        <x:v>GQ</x:v>
      </x:c>
      <x:c r="C93" s="34" t="n">
        <x:v>0.664</x:v>
      </x:c>
      <x:c r="D93" s="34" t="n">
        <x:v>74.96</x:v>
      </x:c>
      <x:c r="E93" s="34" t="n">
        <x:v>107.99</x:v>
      </x:c>
      <x:c r="F93" s="39" t="n">
        <x:v>21.566615572</x:v>
      </x:c>
      <x:c r="G93" s="39" t="n">
        <x:v>109.764652275</x:v>
      </x:c>
      <x:c r="H93" s="12" t="n">
        <x:v>26</x:v>
      </x:c>
      <x:c r="I93" s="34" t="n">
        <x:v>6.37</x:v>
      </x:c>
      <x:c r="J93" s="34" t="n">
        <x:v>22.93</x:v>
      </x:c>
      <x:c r="K93" s="34" t="n">
        <x:v>73.09</x:v>
      </x:c>
      <x:c r="L93" s="34" t="n">
        <x:v>3.19</x:v>
      </x:c>
      <x:c r="M93" s="34" t="n">
        <x:v>516.4067388063035</x:v>
      </x:c>
      <x:c r="N93" s="34" t="n">
        <x:v>13.203417253493651</x:v>
      </x:c>
      <x:c r="O93" s="34" t="n">
        <x:v>1.439517755617975</x:v>
      </x:c>
      <x:c r="P93" s="34" t="n">
        <x:v>22.90833282470703</x:v>
      </x:c>
      <x:c r="Q93" s="12" t="n">
        <x:v>1647</x:v>
      </x:c>
      <x:c r="R93" s="34" t="n">
        <x:v>168.3985279061414</x:v>
      </x:c>
      <x:c r="S93" s="34" t="n">
        <x:v>1829.3517218498557</x:v>
      </x:c>
      <x:c r="T93" s="2"/>
      <x:c r="U93" s="2"/>
      <x:c r="V93" s="2"/>
    </x:row>
    <x:row r="94" ht="24" customHeight="1">
      <x:c r="A94" s="2" t="str">
        <x:v>GQ70</x:v>
      </x:c>
      <x:c r="B94" s="2" t="str">
        <x:v>GQ</x:v>
      </x:c>
      <x:c r="C94" s="19" t="n">
        <x:v>0.48</x:v>
      </x:c>
      <x:c r="D94" s="19" t="n">
        <x:v>81.87</x:v>
      </x:c>
      <x:c r="E94" s="19" t="n">
        <x:v>170.55</x:v>
      </x:c>
      <x:c r="F94" s="38" t="n">
        <x:v>21.5689909180001</x:v>
      </x:c>
      <x:c r="G94" s="38" t="n">
        <x:v>109.748680597</x:v>
      </x:c>
      <x:c r="H94" s="11" t="n">
        <x:v>25</x:v>
      </x:c>
      <x:c r="I94" s="19" t="n">
        <x:v>6.14</x:v>
      </x:c>
      <x:c r="J94" s="19" t="n">
        <x:v>23.58</x:v>
      </x:c>
      <x:c r="K94" s="19" t="n">
        <x:v>83.25</x:v>
      </x:c>
      <x:c r="L94" s="19" t="n">
        <x:v>3.53</x:v>
      </x:c>
      <x:c r="M94" s="19" t="n">
        <x:v>497.62054232913266</x:v>
      </x:c>
      <x:c r="N94" s="19" t="n">
        <x:v>14.351563941910968</x:v>
      </x:c>
      <x:c r="O94" s="19" t="n">
        <x:v>1.6949257247473433</x:v>
      </x:c>
      <x:c r="P94" s="19" t="n">
        <x:v>22.85416603088379</x:v>
      </x:c>
      <x:c r="Q94" s="11" t="n">
        <x:v>1649</x:v>
      </x:c>
      <x:c r="R94" s="19" t="n">
        <x:v>351.35332735629214</x:v>
      </x:c>
      <x:c r="S94" s="19" t="n">
        <x:v>2029.6245530484853</x:v>
      </x:c>
      <x:c r="T94" s="2"/>
      <x:c r="U94" s="2"/>
      <x:c r="V94" s="2"/>
    </x:row>
    <x:row r="95" ht="24" customHeight="1">
      <x:c r="A95" s="10" t="str">
        <x:v>GQ71</x:v>
      </x:c>
      <x:c r="B95" s="10" t="str">
        <x:v>GQ</x:v>
      </x:c>
      <x:c r="C95" s="34" t="n">
        <x:v>0.467</x:v>
      </x:c>
      <x:c r="D95" s="34" t="n">
        <x:v>82.38</x:v>
      </x:c>
      <x:c r="E95" s="34" t="n">
        <x:v>187</x:v>
      </x:c>
      <x:c r="F95" s="39" t="n">
        <x:v>21.5696498660001</x:v>
      </x:c>
      <x:c r="G95" s="39" t="n">
        <x:v>109.748710137</x:v>
      </x:c>
      <x:c r="H95" s="12" t="n">
        <x:v>24</x:v>
      </x:c>
      <x:c r="I95" s="34" t="n">
        <x:v>6.64</x:v>
      </x:c>
      <x:c r="J95" s="34" t="n">
        <x:v>23.16</x:v>
      </x:c>
      <x:c r="K95" s="34" t="n">
        <x:v>85.33</x:v>
      </x:c>
      <x:c r="L95" s="34" t="n">
        <x:v>3.68</x:v>
      </x:c>
      <x:c r="M95" s="34" t="n">
        <x:v>498.52574816502664</x:v>
      </x:c>
      <x:c r="N95" s="34" t="n">
        <x:v>16.642034687963264</x:v>
      </x:c>
      <x:c r="O95" s="34" t="n">
        <x:v>2.004102431793467</x:v>
      </x:c>
      <x:c r="P95" s="34" t="n">
        <x:v>22.85416603088379</x:v>
      </x:c>
      <x:c r="Q95" s="12" t="n">
        <x:v>1649</x:v>
      </x:c>
      <x:c r="R95" s="34" t="n">
        <x:v>347.8572057213834</x:v>
      </x:c>
      <x:c r="S95" s="34" t="n">
        <x:v>2095.9713915594853</x:v>
      </x:c>
      <x:c r="T95" s="2"/>
      <x:c r="U95" s="2"/>
      <x:c r="V95" s="2"/>
    </x:row>
    <x:row r="96" ht="24" customHeight="1">
      <x:c r="A96" s="2" t="str">
        <x:v>GQ72</x:v>
      </x:c>
      <x:c r="B96" s="2" t="str">
        <x:v>GQ</x:v>
      </x:c>
      <x:c r="C96" s="19" t="n">
        <x:v>0.677</x:v>
      </x:c>
      <x:c r="D96" s="19" t="n">
        <x:v>74.46</x:v>
      </x:c>
      <x:c r="E96" s="19" t="n">
        <x:v>133.49</x:v>
      </x:c>
      <x:c r="F96" s="38" t="n">
        <x:v>21.5696978130001</x:v>
      </x:c>
      <x:c r="G96" s="38" t="n">
        <x:v>109.620472532</x:v>
      </x:c>
      <x:c r="H96" s="11" t="n">
        <x:v>25</x:v>
      </x:c>
      <x:c r="I96" s="19" t="n">
        <x:v>6.36</x:v>
      </x:c>
      <x:c r="J96" s="19" t="n">
        <x:v>26.35</x:v>
      </x:c>
      <x:c r="K96" s="19" t="n">
        <x:v>75.18</x:v>
      </x:c>
      <x:c r="L96" s="19" t="n">
        <x:v>2.85</x:v>
      </x:c>
      <x:c r="M96" s="19" t="n">
        <x:v>516.1958212469</x:v>
      </x:c>
      <x:c r="N96" s="19" t="n">
        <x:v>16.0003729024239</x:v>
      </x:c>
      <x:c r="O96" s="19" t="n">
        <x:v>2.06960845245494</x:v>
      </x:c>
      <x:c r="P96" s="19" t="n">
        <x:v>22.649999618530273</x:v>
      </x:c>
      <x:c r="Q96" s="11" t="n">
        <x:v>1613</x:v>
      </x:c>
      <x:c r="R96" s="19" t="n">
        <x:v>331.9322509803324</x:v>
      </x:c>
      <x:c r="S96" s="19" t="n">
        <x:v>2435.6835825456333</x:v>
      </x:c>
      <x:c r="T96" s="2"/>
      <x:c r="U96" s="2"/>
      <x:c r="V96" s="2"/>
    </x:row>
    <x:row r="97" ht="24" customHeight="1">
      <x:c r="A97" s="10" t="str">
        <x:v>GQ73</x:v>
      </x:c>
      <x:c r="B97" s="10" t="str">
        <x:v>GQ</x:v>
      </x:c>
      <x:c r="C97" s="34" t="n">
        <x:v>0.979</x:v>
      </x:c>
      <x:c r="D97" s="34" t="n">
        <x:v>63.06</x:v>
      </x:c>
      <x:c r="E97" s="34" t="n">
        <x:v>60.37</x:v>
      </x:c>
      <x:c r="F97" s="39" t="n">
        <x:v>21.569780333</x:v>
      </x:c>
      <x:c r="G97" s="39" t="n">
        <x:v>109.761082135</x:v>
      </x:c>
      <x:c r="H97" s="12" t="n">
        <x:v>25</x:v>
      </x:c>
      <x:c r="I97" s="34" t="n">
        <x:v>6.42</x:v>
      </x:c>
      <x:c r="J97" s="34" t="n">
        <x:v>19.29</x:v>
      </x:c>
      <x:c r="K97" s="34" t="n">
        <x:v>47.69</x:v>
      </x:c>
      <x:c r="L97" s="34" t="n">
        <x:v>2.47</x:v>
      </x:c>
      <x:c r="M97" s="34" t="n">
        <x:v>476.99803461165925</x:v>
      </x:c>
      <x:c r="N97" s="34" t="n">
        <x:v>15.159571167515526</x:v>
      </x:c>
      <x:c r="O97" s="34" t="n">
        <x:v>1.629338170719175</x:v>
      </x:c>
      <x:c r="P97" s="34" t="n">
        <x:v>22.90416717529297</x:v>
      </x:c>
      <x:c r="Q97" s="12" t="n">
        <x:v>1651</x:v>
      </x:c>
      <x:c r="R97" s="34" t="n">
        <x:v>173.63837881090998</x:v>
      </x:c>
      <x:c r="S97" s="34" t="n">
        <x:v>2022.3977901686796</x:v>
      </x:c>
      <x:c r="T97" s="2"/>
      <x:c r="U97" s="2"/>
      <x:c r="V97" s="2"/>
    </x:row>
    <x:row r="98" ht="24" customHeight="1">
      <x:c r="A98" s="2" t="str">
        <x:v>GQ74</x:v>
      </x:c>
      <x:c r="B98" s="2" t="str">
        <x:v>GQ</x:v>
      </x:c>
      <x:c r="C98" s="19" t="n">
        <x:v>0.597</x:v>
      </x:c>
      <x:c r="D98" s="19" t="n">
        <x:v>77.47</x:v>
      </x:c>
      <x:c r="E98" s="19" t="n">
        <x:v>117.76</x:v>
      </x:c>
      <x:c r="F98" s="38" t="n">
        <x:v>21.569782054</x:v>
      </x:c>
      <x:c r="G98" s="38" t="n">
        <x:v>109.760336017</x:v>
      </x:c>
      <x:c r="H98" s="11" t="n">
        <x:v>25</x:v>
      </x:c>
      <x:c r="I98" s="19" t="n">
        <x:v>6.41</x:v>
      </x:c>
      <x:c r="J98" s="19" t="n">
        <x:v>18.49</x:v>
      </x:c>
      <x:c r="K98" s="19" t="n">
        <x:v>49.46</x:v>
      </x:c>
      <x:c r="L98" s="19" t="n">
        <x:v>2.67</x:v>
      </x:c>
      <x:c r="M98" s="19" t="n">
        <x:v>485.0630934074773</x:v>
      </x:c>
      <x:c r="N98" s="19" t="n">
        <x:v>16.158192214177266</x:v>
      </x:c>
      <x:c r="O98" s="19" t="n">
        <x:v>1.8262154723469568</x:v>
      </x:c>
      <x:c r="P98" s="19" t="n">
        <x:v>22.90416717529297</x:v>
      </x:c>
      <x:c r="Q98" s="11" t="n">
        <x:v>1651</x:v>
      </x:c>
      <x:c r="R98" s="19" t="n">
        <x:v>213.12384570437683</x:v>
      </x:c>
      <x:c r="S98" s="19" t="n">
        <x:v>2004.8581034996225</x:v>
      </x:c>
      <x:c r="T98" s="2"/>
      <x:c r="U98" s="2"/>
      <x:c r="V98" s="2"/>
    </x:row>
    <x:row r="99" ht="24" customHeight="1">
      <x:c r="A99" s="10" t="str">
        <x:v>GQ75</x:v>
      </x:c>
      <x:c r="B99" s="10" t="str">
        <x:v>GQ</x:v>
      </x:c>
      <x:c r="C99" s="34" t="n">
        <x:v>0.512</x:v>
      </x:c>
      <x:c r="D99" s="34" t="n">
        <x:v>80.66</x:v>
      </x:c>
      <x:c r="E99" s="34" t="n">
        <x:v>141.95</x:v>
      </x:c>
      <x:c r="F99" s="39" t="n">
        <x:v>21.5698872400001</x:v>
      </x:c>
      <x:c r="G99" s="39" t="n">
        <x:v>109.762624626</x:v>
      </x:c>
      <x:c r="H99" s="12" t="n">
        <x:v>24</x:v>
      </x:c>
      <x:c r="I99" s="34" t="n">
        <x:v>6.53</x:v>
      </x:c>
      <x:c r="J99" s="34" t="n">
        <x:v>19.5</x:v>
      </x:c>
      <x:c r="K99" s="34" t="n">
        <x:v>45.41</x:v>
      </x:c>
      <x:c r="L99" s="34" t="n">
        <x:v>2.33</x:v>
      </x:c>
      <x:c r="M99" s="34" t="n">
        <x:v>500.1441111033173</x:v>
      </x:c>
      <x:c r="N99" s="34" t="n">
        <x:v>12.557459266090701</x:v>
      </x:c>
      <x:c r="O99" s="34" t="n">
        <x:v>1.5560336094026335</x:v>
      </x:c>
      <x:c r="P99" s="34" t="n">
        <x:v>22.90416717529297</x:v>
      </x:c>
      <x:c r="Q99" s="12" t="n">
        <x:v>1651</x:v>
      </x:c>
      <x:c r="R99" s="34" t="n">
        <x:v>180.56718654391815</x:v>
      </x:c>
      <x:c r="S99" s="34" t="n">
        <x:v>2078.9600553736122</x:v>
      </x:c>
      <x:c r="T99" s="2"/>
      <x:c r="U99" s="2"/>
      <x:c r="V99" s="2"/>
    </x:row>
    <x:row r="100" ht="24" customHeight="1">
      <x:c r="A100" s="2" t="str">
        <x:v>GQ76</x:v>
      </x:c>
      <x:c r="B100" s="2" t="str">
        <x:v>GQ</x:v>
      </x:c>
      <x:c r="C100" s="19" t="n">
        <x:v>0.635</x:v>
      </x:c>
      <x:c r="D100" s="19" t="n">
        <x:v>76.04</x:v>
      </x:c>
      <x:c r="E100" s="19" t="n">
        <x:v>118.9</x:v>
      </x:c>
      <x:c r="F100" s="38" t="n">
        <x:v>21.5698957990001</x:v>
      </x:c>
      <x:c r="G100" s="38" t="n">
        <x:v>109.759444065</x:v>
      </x:c>
      <x:c r="H100" s="11" t="n">
        <x:v>25</x:v>
      </x:c>
      <x:c r="I100" s="19" t="n">
        <x:v>6.57</x:v>
      </x:c>
      <x:c r="J100" s="19" t="n">
        <x:v>18.19</x:v>
      </x:c>
      <x:c r="K100" s="19" t="n">
        <x:v>39.82</x:v>
      </x:c>
      <x:c r="L100" s="19" t="n">
        <x:v>2.19</x:v>
      </x:c>
      <x:c r="M100" s="19" t="n">
        <x:v>505.72695572557876</x:v>
      </x:c>
      <x:c r="N100" s="19" t="n">
        <x:v>12.507178674878267</x:v>
      </x:c>
      <x:c r="O100" s="19" t="n">
        <x:v>1.5736717183185631</x:v>
      </x:c>
      <x:c r="P100" s="19" t="n">
        <x:v>22.90416717529297</x:v>
      </x:c>
      <x:c r="Q100" s="11" t="n">
        <x:v>1651</x:v>
      </x:c>
      <x:c r="R100" s="19" t="n">
        <x:v>251.94367646856156</x:v>
      </x:c>
      <x:c r="S100" s="19" t="n">
        <x:v>1999.8297661772554</x:v>
      </x:c>
      <x:c r="T100" s="2"/>
      <x:c r="U100" s="2"/>
      <x:c r="V100" s="2"/>
    </x:row>
    <x:row r="101" ht="24" customHeight="1">
      <x:c r="A101" s="10" t="str">
        <x:v>GQ77</x:v>
      </x:c>
      <x:c r="B101" s="10" t="str">
        <x:v>GQ</x:v>
      </x:c>
      <x:c r="C101" s="34" t="n">
        <x:v>0.767</x:v>
      </x:c>
      <x:c r="D101" s="34" t="n">
        <x:v>71.05</x:v>
      </x:c>
      <x:c r="E101" s="34" t="n">
        <x:v>72.05</x:v>
      </x:c>
      <x:c r="F101" s="39" t="n">
        <x:v>21.5703501</x:v>
      </x:c>
      <x:c r="G101" s="39" t="n">
        <x:v>109.758522247</x:v>
      </x:c>
      <x:c r="H101" s="12" t="n">
        <x:v>25</x:v>
      </x:c>
      <x:c r="I101" s="34" t="n">
        <x:v>6.62</x:v>
      </x:c>
      <x:c r="J101" s="34" t="n">
        <x:v>13.58</x:v>
      </x:c>
      <x:c r="K101" s="34" t="n">
        <x:v>31.08</x:v>
      </x:c>
      <x:c r="L101" s="34" t="n">
        <x:v>2.29</x:v>
      </x:c>
      <x:c r="M101" s="34" t="n">
        <x:v>480.82052405248004</x:v>
      </x:c>
      <x:c r="N101" s="34" t="n">
        <x:v>16.567992840749366</x:v>
      </x:c>
      <x:c r="O101" s="34" t="n">
        <x:v>2.1360917311205196</x:v>
      </x:c>
      <x:c r="P101" s="34" t="n">
        <x:v>22.90416717529297</x:v>
      </x:c>
      <x:c r="Q101" s="12" t="n">
        <x:v>1651</x:v>
      </x:c>
      <x:c r="R101" s="34" t="n">
        <x:v>247.87315374729488</x:v>
      </x:c>
      <x:c r="S101" s="34" t="n">
        <x:v>2036.223245780421</x:v>
      </x:c>
      <x:c r="T101" s="2"/>
      <x:c r="U101" s="2"/>
      <x:c r="V101" s="2"/>
    </x:row>
    <x:row r="102" ht="24" customHeight="1">
      <x:c r="A102" s="2" t="str">
        <x:v>GQ78</x:v>
      </x:c>
      <x:c r="B102" s="2" t="str">
        <x:v>GQ</x:v>
      </x:c>
      <x:c r="C102" s="19" t="n">
        <x:v>1.039</x:v>
      </x:c>
      <x:c r="D102" s="19" t="n">
        <x:v>60.79</x:v>
      </x:c>
      <x:c r="E102" s="19" t="n">
        <x:v>58.81</x:v>
      </x:c>
      <x:c r="F102" s="38" t="n">
        <x:v>21.570666562</x:v>
      </x:c>
      <x:c r="G102" s="38" t="n">
        <x:v>109.618704212</x:v>
      </x:c>
      <x:c r="H102" s="11" t="n">
        <x:v>25</x:v>
      </x:c>
      <x:c r="I102" s="19" t="n">
        <x:v>7.09</x:v>
      </x:c>
      <x:c r="J102" s="19" t="n">
        <x:v>14.35</x:v>
      </x:c>
      <x:c r="K102" s="19" t="n">
        <x:v>24.9</x:v>
      </x:c>
      <x:c r="L102" s="19" t="n">
        <x:v>1.74</x:v>
      </x:c>
      <x:c r="M102" s="19" t="n">
        <x:v>490.6508883436939</x:v>
      </x:c>
      <x:c r="N102" s="19" t="n">
        <x:v>16.517648407036567</x:v>
      </x:c>
      <x:c r="O102" s="19" t="n">
        <x:v>1.7610143024710265</x:v>
      </x:c>
      <x:c r="P102" s="19" t="n">
        <x:v>22.649999618530273</x:v>
      </x:c>
      <x:c r="Q102" s="11" t="n">
        <x:v>1613</x:v>
      </x:c>
      <x:c r="R102" s="19" t="n">
        <x:v>447.3503999662287</x:v>
      </x:c>
      <x:c r="S102" s="19" t="n">
        <x:v>2263.5824580957633</x:v>
      </x:c>
      <x:c r="T102" s="2"/>
      <x:c r="U102" s="2"/>
      <x:c r="V102" s="2"/>
    </x:row>
    <x:row r="103" ht="24" customHeight="1">
      <x:c r="A103" s="10" t="str">
        <x:v>GQ79</x:v>
      </x:c>
      <x:c r="B103" s="10" t="str">
        <x:v>GQ</x:v>
      </x:c>
      <x:c r="C103" s="34" t="n">
        <x:v>0.933</x:v>
      </x:c>
      <x:c r="D103" s="34" t="n">
        <x:v>64.78</x:v>
      </x:c>
      <x:c r="E103" s="34" t="n">
        <x:v>61.81</x:v>
      </x:c>
      <x:c r="F103" s="39" t="n">
        <x:v>21.570919459</x:v>
      </x:c>
      <x:c r="G103" s="39" t="n">
        <x:v>109.74824306</x:v>
      </x:c>
      <x:c r="H103" s="12" t="n">
        <x:v>25</x:v>
      </x:c>
      <x:c r="I103" s="34" t="n">
        <x:v>6.96</x:v>
      </x:c>
      <x:c r="J103" s="34" t="n">
        <x:v>15.59</x:v>
      </x:c>
      <x:c r="K103" s="34" t="n">
        <x:v>30.24</x:v>
      </x:c>
      <x:c r="L103" s="34" t="n">
        <x:v>1.94</x:v>
      </x:c>
      <x:c r="M103" s="34" t="n">
        <x:v>473.00981768006</x:v>
      </x:c>
      <x:c r="N103" s="34" t="n">
        <x:v>16.4458312272647</x:v>
      </x:c>
      <x:c r="O103" s="34" t="n">
        <x:v>2.190053669903733</x:v>
      </x:c>
      <x:c r="P103" s="34" t="n">
        <x:v>22.85416603088379</x:v>
      </x:c>
      <x:c r="Q103" s="12" t="n">
        <x:v>1649</x:v>
      </x:c>
      <x:c r="R103" s="34" t="n">
        <x:v>354.701078340026</x:v>
      </x:c>
      <x:c r="S103" s="34" t="n">
        <x:v>2244.4576358437744</x:v>
      </x:c>
      <x:c r="T103" s="2"/>
      <x:c r="U103" s="2"/>
      <x:c r="V103" s="2"/>
    </x:row>
    <x:row r="104" ht="24" customHeight="1">
      <x:c r="A104" s="2" t="str">
        <x:v>GQ80</x:v>
      </x:c>
      <x:c r="B104" s="2" t="str">
        <x:v>GQ</x:v>
      </x:c>
      <x:c r="C104" s="19" t="n">
        <x:v>1.087</x:v>
      </x:c>
      <x:c r="D104" s="19" t="n">
        <x:v>58.98</x:v>
      </x:c>
      <x:c r="E104" s="19" t="n">
        <x:v>57.33</x:v>
      </x:c>
      <x:c r="F104" s="38" t="n">
        <x:v>21.5710557570001</x:v>
      </x:c>
      <x:c r="G104" s="38" t="n">
        <x:v>109.617019459</x:v>
      </x:c>
      <x:c r="H104" s="11" t="n">
        <x:v>26</x:v>
      </x:c>
      <x:c r="I104" s="19" t="n">
        <x:v>6.93</x:v>
      </x:c>
      <x:c r="J104" s="19" t="n">
        <x:v>16.78</x:v>
      </x:c>
      <x:c r="K104" s="19" t="n">
        <x:v>35.38</x:v>
      </x:c>
      <x:c r="L104" s="19" t="n">
        <x:v>2.11</x:v>
      </x:c>
      <x:c r="M104" s="19" t="n">
        <x:v>483.64527764151</x:v>
      </x:c>
      <x:c r="N104" s="19" t="n">
        <x:v>14.71972555038863</x:v>
      </x:c>
      <x:c r="O104" s="19" t="n">
        <x:v>1.808618602200915</x:v>
      </x:c>
      <x:c r="P104" s="19" t="n">
        <x:v>22.649999618530273</x:v>
      </x:c>
      <x:c r="Q104" s="11" t="n">
        <x:v>1613</x:v>
      </x:c>
      <x:c r="R104" s="19" t="n">
        <x:v>611.6575360740633</x:v>
      </x:c>
      <x:c r="S104" s="19" t="n">
        <x:v>2162.4249421972095</x:v>
      </x:c>
      <x:c r="T104" s="2"/>
      <x:c r="U104" s="2"/>
      <x:c r="V104" s="2"/>
    </x:row>
    <x:row r="105" ht="24" customHeight="1">
      <x:c r="A105" s="10" t="str">
        <x:v>GQ81</x:v>
      </x:c>
      <x:c r="B105" s="10" t="str">
        <x:v>GQ</x:v>
      </x:c>
      <x:c r="C105" s="34" t="n">
        <x:v>0.665</x:v>
      </x:c>
      <x:c r="D105" s="34" t="n">
        <x:v>74.89</x:v>
      </x:c>
      <x:c r="E105" s="34" t="n">
        <x:v>116.44</x:v>
      </x:c>
      <x:c r="F105" s="39" t="n">
        <x:v>21.571560273</x:v>
      </x:c>
      <x:c r="G105" s="39" t="n">
        <x:v>109.747949685</x:v>
      </x:c>
      <x:c r="H105" s="12" t="n">
        <x:v>20</x:v>
      </x:c>
      <x:c r="I105" s="34" t="n">
        <x:v>6.66</x:v>
      </x:c>
      <x:c r="J105" s="34" t="n">
        <x:v>16.14</x:v>
      </x:c>
      <x:c r="K105" s="34" t="n">
        <x:v>45.36</x:v>
      </x:c>
      <x:c r="L105" s="34" t="n">
        <x:v>2.81</x:v>
      </x:c>
      <x:c r="M105" s="34" t="n">
        <x:v>482.797175229564</x:v>
      </x:c>
      <x:c r="N105" s="34" t="n">
        <x:v>19.2387096774194</x:v>
      </x:c>
      <x:c r="O105" s="34" t="n">
        <x:v>2.81362007168459</x:v>
      </x:c>
      <x:c r="P105" s="34" t="n">
        <x:v>22.85416603088379</x:v>
      </x:c>
      <x:c r="Q105" s="12" t="n">
        <x:v>1649</x:v>
      </x:c>
      <x:c r="R105" s="34" t="n">
        <x:v>354.52234601598036</x:v>
      </x:c>
      <x:c r="S105" s="34" t="n">
        <x:v>2321.61875774907</x:v>
      </x:c>
      <x:c r="T105" s="2"/>
      <x:c r="U105" s="2"/>
      <x:c r="V105" s="2"/>
    </x:row>
    <x:row r="106" ht="24" customHeight="1">
      <x:c r="A106" s="2" t="str">
        <x:v>GQ82</x:v>
      </x:c>
      <x:c r="B106" s="2" t="str">
        <x:v>GQ</x:v>
      </x:c>
      <x:c r="C106" s="19" t="n">
        <x:v>0.94</x:v>
      </x:c>
      <x:c r="D106" s="19" t="n">
        <x:v>64.51</x:v>
      </x:c>
      <x:c r="E106" s="19" t="n">
        <x:v>71.19</x:v>
      </x:c>
      <x:c r="F106" s="38" t="n">
        <x:v>21.571788859</x:v>
      </x:c>
      <x:c r="G106" s="38" t="n">
        <x:v>109.615656907</x:v>
      </x:c>
      <x:c r="H106" s="11" t="n">
        <x:v>20</x:v>
      </x:c>
      <x:c r="I106" s="19" t="n">
        <x:v>6.2</x:v>
      </x:c>
      <x:c r="J106" s="19" t="n">
        <x:v>19.76</x:v>
      </x:c>
      <x:c r="K106" s="19" t="n">
        <x:v>46.63</x:v>
      </x:c>
      <x:c r="L106" s="19" t="n">
        <x:v>2.36</x:v>
      </x:c>
      <x:c r="M106" s="19" t="n">
        <x:v>500.439383398631</x:v>
      </x:c>
      <x:c r="N106" s="19" t="n">
        <x:v>15.6812620734063</x:v>
      </x:c>
      <x:c r="O106" s="19" t="n">
        <x:v>2.84610431423052</x:v>
      </x:c>
      <x:c r="P106" s="19" t="n">
        <x:v>22.649999618530273</x:v>
      </x:c>
      <x:c r="Q106" s="11" t="n">
        <x:v>1613</x:v>
      </x:c>
      <x:c r="R106" s="19" t="n">
        <x:v>673.1172997308859</x:v>
      </x:c>
      <x:c r="S106" s="19" t="n">
        <x:v>2043.6603522845294</x:v>
      </x:c>
      <x:c r="T106" s="2"/>
      <x:c r="U106" s="2"/>
      <x:c r="V106" s="2"/>
    </x:row>
    <x:row r="107" ht="24" customHeight="1">
      <x:c r="A107" s="10" t="str">
        <x:v>GQ83</x:v>
      </x:c>
      <x:c r="B107" s="10" t="str">
        <x:v>GQ</x:v>
      </x:c>
      <x:c r="C107" s="34" t="n">
        <x:v>0.706</x:v>
      </x:c>
      <x:c r="D107" s="34" t="n">
        <x:v>73.34</x:v>
      </x:c>
      <x:c r="E107" s="34" t="n">
        <x:v>109.51</x:v>
      </x:c>
      <x:c r="F107" s="39" t="n">
        <x:v>21.575178894</x:v>
      </x:c>
      <x:c r="G107" s="39" t="n">
        <x:v>109.753165747</x:v>
      </x:c>
      <x:c r="H107" s="12" t="n">
        <x:v>20</x:v>
      </x:c>
      <x:c r="I107" s="34" t="n">
        <x:v>6.35</x:v>
      </x:c>
      <x:c r="J107" s="34" t="n">
        <x:v>17.21</x:v>
      </x:c>
      <x:c r="K107" s="34" t="n">
        <x:v>41.75</x:v>
      </x:c>
      <x:c r="L107" s="34" t="n">
        <x:v>2.43</x:v>
      </x:c>
      <x:c r="M107" s="34" t="n">
        <x:v>510.490378549005</x:v>
      </x:c>
      <x:c r="N107" s="34" t="n">
        <x:v>16.47399527587665</x:v>
      </x:c>
      <x:c r="O107" s="34" t="n">
        <x:v>2.16360608079462</x:v>
      </x:c>
      <x:c r="P107" s="34" t="n">
        <x:v>22.899999618530273</x:v>
      </x:c>
      <x:c r="Q107" s="12" t="n">
        <x:v>1658</x:v>
      </x:c>
      <x:c r="R107" s="34" t="n">
        <x:v>285.86008616265286</x:v>
      </x:c>
      <x:c r="S107" s="34" t="n">
        <x:v>2577.1187713530776</x:v>
      </x:c>
      <x:c r="T107" s="2"/>
      <x:c r="U107" s="2"/>
      <x:c r="V107" s="2"/>
    </x:row>
    <x:row r="108" ht="24" customHeight="1">
      <x:c r="A108" s="2" t="str">
        <x:v>GQ84</x:v>
      </x:c>
      <x:c r="B108" s="2" t="str">
        <x:v>GQ</x:v>
      </x:c>
      <x:c r="C108" s="19" t="n">
        <x:v>0.902</x:v>
      </x:c>
      <x:c r="D108" s="19" t="n">
        <x:v>65.98</x:v>
      </x:c>
      <x:c r="E108" s="19" t="n">
        <x:v>71.92</x:v>
      </x:c>
      <x:c r="F108" s="38" t="n">
        <x:v>21.5769273120001</x:v>
      </x:c>
      <x:c r="G108" s="38" t="n">
        <x:v>109.752488073</x:v>
      </x:c>
      <x:c r="H108" s="11" t="n">
        <x:v>21</x:v>
      </x:c>
      <x:c r="I108" s="19" t="n">
        <x:v>6.35</x:v>
      </x:c>
      <x:c r="J108" s="19" t="n">
        <x:v>18.43</x:v>
      </x:c>
      <x:c r="K108" s="19" t="n">
        <x:v>30.67</x:v>
      </x:c>
      <x:c r="L108" s="19" t="n">
        <x:v>1.66</x:v>
      </x:c>
      <x:c r="M108" s="19" t="n">
        <x:v>511.3516916414695</x:v>
      </x:c>
      <x:c r="N108" s="19" t="n">
        <x:v>18.3120949056283</x:v>
      </x:c>
      <x:c r="O108" s="19" t="n">
        <x:v>2.3922578214915102</x:v>
      </x:c>
      <x:c r="P108" s="19" t="n">
        <x:v>22.899999618530273</x:v>
      </x:c>
      <x:c r="Q108" s="11" t="n">
        <x:v>1658</x:v>
      </x:c>
      <x:c r="R108" s="19" t="n">
        <x:v>302.2462140585565</x:v>
      </x:c>
      <x:c r="S108" s="19" t="n">
        <x:v>2778.293123075028</x:v>
      </x:c>
      <x:c r="T108" s="2"/>
      <x:c r="U108" s="2"/>
      <x:c r="V108" s="2"/>
    </x:row>
    <x:row r="109" ht="24" customHeight="1">
      <x:c r="A109" s="10" t="str">
        <x:v>GQ85</x:v>
      </x:c>
      <x:c r="B109" s="10" t="str">
        <x:v>GQ</x:v>
      </x:c>
      <x:c r="C109" s="34" t="n">
        <x:v>0.548</x:v>
      </x:c>
      <x:c r="D109" s="34" t="n">
        <x:v>79.32</x:v>
      </x:c>
      <x:c r="E109" s="34" t="n">
        <x:v>142.66</x:v>
      </x:c>
      <x:c r="F109" s="39" t="n">
        <x:v>21.5778614220001</x:v>
      </x:c>
      <x:c r="G109" s="39" t="n">
        <x:v>109.752133739</x:v>
      </x:c>
      <x:c r="H109" s="12" t="n">
        <x:v>30</x:v>
      </x:c>
      <x:c r="I109" s="34" t="n">
        <x:v>6.25</x:v>
      </x:c>
      <x:c r="J109" s="34" t="n">
        <x:v>18.83</x:v>
      </x:c>
      <x:c r="K109" s="34" t="n">
        <x:v>91.35</x:v>
      </x:c>
      <x:c r="L109" s="34" t="n">
        <x:v>4.85</x:v>
      </x:c>
      <x:c r="M109" s="34" t="n">
        <x:v>443.837355345257</x:v>
      </x:c>
      <x:c r="N109" s="34" t="n">
        <x:v>19.6322741433022</x:v>
      </x:c>
      <x:c r="O109" s="34" t="n">
        <x:v>2.6791277258567</x:v>
      </x:c>
      <x:c r="P109" s="34" t="n">
        <x:v>22.899999618530273</x:v>
      </x:c>
      <x:c r="Q109" s="12" t="n">
        <x:v>1658</x:v>
      </x:c>
      <x:c r="R109" s="34" t="n">
        <x:v>295.4204763737171</x:v>
      </x:c>
      <x:c r="S109" s="34" t="n">
        <x:v>2885.9302208959894</x:v>
      </x:c>
      <x:c r="T109" s="2"/>
      <x:c r="U109" s="2"/>
      <x:c r="V109" s="2"/>
    </x:row>
    <x:row r="110" ht="24" customHeight="1">
      <x:c r="A110" s="2" t="str">
        <x:v>GQ86</x:v>
      </x:c>
      <x:c r="B110" s="2" t="str">
        <x:v>GQ</x:v>
      </x:c>
      <x:c r="C110" s="19" t="n">
        <x:v>0.496</x:v>
      </x:c>
      <x:c r="D110" s="19" t="n">
        <x:v>81.29</x:v>
      </x:c>
      <x:c r="E110" s="19" t="n">
        <x:v>196.55</x:v>
      </x:c>
      <x:c r="F110" s="38" t="n">
        <x:v>21.5918461950001</x:v>
      </x:c>
      <x:c r="G110" s="38" t="n">
        <x:v>109.665789438</x:v>
      </x:c>
      <x:c r="H110" s="11" t="n">
        <x:v>31</x:v>
      </x:c>
      <x:c r="I110" s="19" t="n">
        <x:v>6.5</x:v>
      </x:c>
      <x:c r="J110" s="19" t="n">
        <x:v>19.55</x:v>
      </x:c>
      <x:c r="K110" s="19" t="n">
        <x:v>103.82</x:v>
      </x:c>
      <x:c r="L110" s="19" t="n">
        <x:v>5.31</x:v>
      </x:c>
      <x:c r="M110" s="19" t="n">
        <x:v>427.5903335338585</x:v>
      </x:c>
      <x:c r="N110" s="19" t="n">
        <x:v>18.078790647014998</x:v>
      </x:c>
      <x:c r="O110" s="19" t="n">
        <x:v>2.4249196694866146</x:v>
      </x:c>
      <x:c r="P110" s="19" t="n">
        <x:v>22.72083282470703</x:v>
      </x:c>
      <x:c r="Q110" s="11" t="n">
        <x:v>1637</x:v>
      </x:c>
      <x:c r="R110" s="19" t="n">
        <x:v>1192.4844204818787</x:v>
      </x:c>
      <x:c r="S110" s="19" t="n">
        <x:v>683.6560216505413</x:v>
      </x:c>
      <x:c r="T110" s="2"/>
      <x:c r="U110" s="2"/>
      <x:c r="V110" s="2"/>
    </x:row>
    <x:row r="111" ht="24" customHeight="1">
      <x:c r="A111" s="10" t="str">
        <x:v>GQ87</x:v>
      </x:c>
      <x:c r="B111" s="10" t="str">
        <x:v>GQ</x:v>
      </x:c>
      <x:c r="C111" s="34" t="n">
        <x:v>0.477</x:v>
      </x:c>
      <x:c r="D111" s="34" t="n">
        <x:v>81.99</x:v>
      </x:c>
      <x:c r="E111" s="34" t="n">
        <x:v>170.33</x:v>
      </x:c>
      <x:c r="F111" s="39" t="n">
        <x:v>21.592647013</x:v>
      </x:c>
      <x:c r="G111" s="39" t="n">
        <x:v>109.664957197</x:v>
      </x:c>
      <x:c r="H111" s="12" t="n">
        <x:v>30</x:v>
      </x:c>
      <x:c r="I111" s="34" t="n">
        <x:v>6.28</x:v>
      </x:c>
      <x:c r="J111" s="34" t="n">
        <x:v>21.15</x:v>
      </x:c>
      <x:c r="K111" s="34" t="n">
        <x:v>107.81</x:v>
      </x:c>
      <x:c r="L111" s="34" t="n">
        <x:v>5.1</x:v>
      </x:c>
      <x:c r="M111" s="34" t="n">
        <x:v>452.93690415243395</x:v>
      </x:c>
      <x:c r="N111" s="34" t="n">
        <x:v>16.8618506563374</x:v>
      </x:c>
      <x:c r="O111" s="34" t="n">
        <x:v>1.87251403642624</x:v>
      </x:c>
      <x:c r="P111" s="34" t="n">
        <x:v>22.72083282470703</x:v>
      </x:c>
      <x:c r="Q111" s="12" t="n">
        <x:v>1637</x:v>
      </x:c>
      <x:c r="R111" s="34" t="n">
        <x:v>1261.6602277799307</x:v>
      </x:c>
      <x:c r="S111" s="34" t="n">
        <x:v>584.7649385155412</x:v>
      </x:c>
      <x:c r="T111" s="2"/>
      <x:c r="U111" s="2"/>
      <x:c r="V111" s="2"/>
    </x:row>
    <x:row r="112" ht="24" customHeight="1">
      <x:c r="A112" s="2" t="str">
        <x:v>GQ88</x:v>
      </x:c>
      <x:c r="B112" s="2" t="str">
        <x:v>GQ</x:v>
      </x:c>
      <x:c r="C112" s="19" t="n">
        <x:v>1.027</x:v>
      </x:c>
      <x:c r="D112" s="19" t="n">
        <x:v>61.24</x:v>
      </x:c>
      <x:c r="E112" s="19" t="n">
        <x:v>53.83</x:v>
      </x:c>
      <x:c r="F112" s="38" t="n">
        <x:v>21.5936002620001</x:v>
      </x:c>
      <x:c r="G112" s="38" t="n">
        <x:v>109.664582952</x:v>
      </x:c>
      <x:c r="H112" s="11" t="n">
        <x:v>30</x:v>
      </x:c>
      <x:c r="I112" s="19" t="n">
        <x:v>6.71</x:v>
      </x:c>
      <x:c r="J112" s="19" t="n">
        <x:v>20.86</x:v>
      </x:c>
      <x:c r="K112" s="19" t="n">
        <x:v>95.18</x:v>
      </x:c>
      <x:c r="L112" s="19" t="n">
        <x:v>4.56</x:v>
      </x:c>
      <x:c r="M112" s="19" t="n">
        <x:v>459.321588286213</x:v>
      </x:c>
      <x:c r="N112" s="19" t="n">
        <x:v>15.67047317272267</x:v>
      </x:c>
      <x:c r="O112" s="19" t="n">
        <x:v>1.786271742796</x:v>
      </x:c>
      <x:c r="P112" s="19" t="n">
        <x:v>22.72916603088379</x:v>
      </x:c>
      <x:c r="Q112" s="11" t="n">
        <x:v>1647</x:v>
      </x:c>
      <x:c r="R112" s="19" t="n">
        <x:v>1290.3998863135303</x:v>
      </x:c>
      <x:c r="S112" s="19" t="n">
        <x:v>477.93351919941176</x:v>
      </x:c>
      <x:c r="T112" s="2"/>
      <x:c r="U112" s="2"/>
      <x:c r="V112" s="2"/>
    </x:row>
    <x:row r="113" ht="24" customHeight="1">
      <x:c r="A113" s="10" t="str">
        <x:v>GQ89</x:v>
      </x:c>
      <x:c r="B113" s="10" t="str">
        <x:v>GQ</x:v>
      </x:c>
      <x:c r="C113" s="34" t="n">
        <x:v>0.664</x:v>
      </x:c>
      <x:c r="D113" s="34" t="n">
        <x:v>74.94</x:v>
      </x:c>
      <x:c r="E113" s="34" t="n">
        <x:v>121.32</x:v>
      </x:c>
      <x:c r="F113" s="39" t="n">
        <x:v>21.594337286</x:v>
      </x:c>
      <x:c r="G113" s="39" t="n">
        <x:v>109.664519208</x:v>
      </x:c>
      <x:c r="H113" s="12" t="n">
        <x:v>30</x:v>
      </x:c>
      <x:c r="I113" s="34" t="n">
        <x:v>6.26</x:v>
      </x:c>
      <x:c r="J113" s="34" t="n">
        <x:v>21.2</x:v>
      </x:c>
      <x:c r="K113" s="34" t="n">
        <x:v>124.68</x:v>
      </x:c>
      <x:c r="L113" s="34" t="n">
        <x:v>5.88</x:v>
      </x:c>
      <x:c r="M113" s="34" t="n">
        <x:v>436.011662014357</x:v>
      </x:c>
      <x:c r="N113" s="34" t="n">
        <x:v>17.63119813119015</x:v>
      </x:c>
      <x:c r="O113" s="34" t="n">
        <x:v>1.901020469758465</x:v>
      </x:c>
      <x:c r="P113" s="34" t="n">
        <x:v>22.72916603088379</x:v>
      </x:c>
      <x:c r="Q113" s="12" t="n">
        <x:v>1647</x:v>
      </x:c>
      <x:c r="R113" s="34" t="n">
        <x:v>1295.4123775066034</x:v>
      </x:c>
      <x:c r="S113" s="34" t="n">
        <x:v>396.3816309110471</x:v>
      </x:c>
      <x:c r="T113" s="2"/>
      <x:c r="U113" s="2"/>
      <x:c r="V113" s="2"/>
    </x:row>
    <x:row r="114" ht="24" customHeight="1">
      <x:c r="A114" s="2" t="str">
        <x:v>GQ90</x:v>
      </x:c>
      <x:c r="B114" s="2" t="str">
        <x:v>GQ</x:v>
      </x:c>
      <x:c r="C114" s="19" t="n">
        <x:v>0.914</x:v>
      </x:c>
      <x:c r="D114" s="19" t="n">
        <x:v>65.5</x:v>
      </x:c>
      <x:c r="E114" s="19" t="n">
        <x:v>70.64</x:v>
      </x:c>
      <x:c r="F114" s="38" t="n">
        <x:v>21.6020990210001</x:v>
      </x:c>
      <x:c r="G114" s="38" t="n">
        <x:v>109.659188471</x:v>
      </x:c>
      <x:c r="H114" s="11" t="n">
        <x:v>35</x:v>
      </x:c>
      <x:c r="I114" s="19" t="n">
        <x:v>6.42</x:v>
      </x:c>
      <x:c r="J114" s="19" t="n">
        <x:v>20.51</x:v>
      </x:c>
      <x:c r="K114" s="19" t="n">
        <x:v>132.72</x:v>
      </x:c>
      <x:c r="L114" s="19" t="n">
        <x:v>6.47</x:v>
      </x:c>
      <x:c r="M114" s="19" t="n">
        <x:v>450.6293021890185</x:v>
      </x:c>
      <x:c r="N114" s="19" t="n">
        <x:v>14.93535771405404</x:v>
      </x:c>
      <x:c r="O114" s="19" t="n">
        <x:v>1.709362962629245</x:v>
      </x:c>
      <x:c r="P114" s="19" t="n">
        <x:v>22.745832443237305</x:v>
      </x:c>
      <x:c r="Q114" s="11" t="n">
        <x:v>1647</x:v>
      </x:c>
      <x:c r="R114" s="19" t="n">
        <x:v>383.24608733068993</x:v>
      </x:c>
      <x:c r="S114" s="19" t="n">
        <x:v>725.6179180292081</x:v>
      </x:c>
      <x:c r="T114" s="2"/>
      <x:c r="U114" s="2"/>
      <x:c r="V114" s="2"/>
    </x:row>
    <x:row r="115" ht="24" customHeight="1">
      <x:c r="A115" s="10" t="str">
        <x:v>GQ91</x:v>
      </x:c>
      <x:c r="B115" s="10" t="str">
        <x:v>GQ</x:v>
      </x:c>
      <x:c r="C115" s="34" t="n">
        <x:v>0.693</x:v>
      </x:c>
      <x:c r="D115" s="34" t="n">
        <x:v>73.85</x:v>
      </x:c>
      <x:c r="E115" s="34" t="n">
        <x:v>110.71</x:v>
      </x:c>
      <x:c r="F115" s="39" t="n">
        <x:v>21.60241553</x:v>
      </x:c>
      <x:c r="G115" s="39" t="n">
        <x:v>109.656998362</x:v>
      </x:c>
      <x:c r="H115" s="12" t="n">
        <x:v>32</x:v>
      </x:c>
      <x:c r="I115" s="34" t="n">
        <x:v>6.43</x:v>
      </x:c>
      <x:c r="J115" s="34" t="n">
        <x:v>20.96</x:v>
      </x:c>
      <x:c r="K115" s="34" t="n">
        <x:v>125.26</x:v>
      </x:c>
      <x:c r="L115" s="34" t="n">
        <x:v>5.98</x:v>
      </x:c>
      <x:c r="M115" s="34" t="n">
        <x:v>447.3902224824355</x:v>
      </x:c>
      <x:c r="N115" s="34" t="n">
        <x:v>16.82264136723295</x:v>
      </x:c>
      <x:c r="O115" s="34" t="n">
        <x:v>2.04886055199716</x:v>
      </x:c>
      <x:c r="P115" s="34" t="n">
        <x:v>22.72916603088379</x:v>
      </x:c>
      <x:c r="Q115" s="12" t="n">
        <x:v>1649</x:v>
      </x:c>
      <x:c r="R115" s="34" t="n">
        <x:v>243.32239732907394</x:v>
      </x:c>
      <x:c r="S115" s="34" t="n">
        <x:v>930.0609868943194</x:v>
      </x:c>
      <x:c r="T115" s="2"/>
      <x:c r="U115" s="2"/>
      <x:c r="V115" s="2"/>
    </x:row>
    <x:row r="116" ht="24" customHeight="1">
      <x:c r="A116" s="2" t="str">
        <x:v>GQ92</x:v>
      </x:c>
      <x:c r="B116" s="2" t="str">
        <x:v>GQ</x:v>
      </x:c>
      <x:c r="C116" s="19" t="n">
        <x:v>0.735</x:v>
      </x:c>
      <x:c r="D116" s="19" t="n">
        <x:v>72.27</x:v>
      </x:c>
      <x:c r="E116" s="19" t="n">
        <x:v>90.53</x:v>
      </x:c>
      <x:c r="F116" s="38" t="n">
        <x:v>21.602655444</x:v>
      </x:c>
      <x:c r="G116" s="38" t="n">
        <x:v>109.657972036</x:v>
      </x:c>
      <x:c r="H116" s="11" t="n">
        <x:v>34</x:v>
      </x:c>
      <x:c r="I116" s="19" t="n">
        <x:v>6.34</x:v>
      </x:c>
      <x:c r="J116" s="19" t="n">
        <x:v>22.54</x:v>
      </x:c>
      <x:c r="K116" s="19" t="n">
        <x:v>121.27</x:v>
      </x:c>
      <x:c r="L116" s="19" t="n">
        <x:v>5.38</x:v>
      </x:c>
      <x:c r="M116" s="19" t="n">
        <x:v>447.84857576205764</x:v>
      </x:c>
      <x:c r="N116" s="19" t="n">
        <x:v>18.463847078262535</x:v>
      </x:c>
      <x:c r="O116" s="19" t="n">
        <x:v>1.8685589121916166</x:v>
      </x:c>
      <x:c r="P116" s="19" t="n">
        <x:v>22.72916603088379</x:v>
      </x:c>
      <x:c r="Q116" s="11" t="n">
        <x:v>1649</x:v>
      </x:c>
      <x:c r="R116" s="19" t="n">
        <x:v>255.75839984796227</x:v>
      </x:c>
      <x:c r="S116" s="19" t="n">
        <x:v>862.5448303602194</x:v>
      </x:c>
      <x:c r="T116" s="2"/>
      <x:c r="U116" s="2"/>
      <x:c r="V116" s="2"/>
    </x:row>
    <x:row r="117" ht="24" customHeight="1">
      <x:c r="A117" s="10" t="str">
        <x:v>GQ93</x:v>
      </x:c>
      <x:c r="B117" s="10" t="str">
        <x:v>GQ</x:v>
      </x:c>
      <x:c r="C117" s="34" t="n">
        <x:v>0.872</x:v>
      </x:c>
      <x:c r="D117" s="34" t="n">
        <x:v>67.09</x:v>
      </x:c>
      <x:c r="E117" s="34" t="n">
        <x:v>84.61</x:v>
      </x:c>
      <x:c r="F117" s="39" t="n">
        <x:v>21.6118160950001</x:v>
      </x:c>
      <x:c r="G117" s="39" t="n">
        <x:v>109.680252464</x:v>
      </x:c>
      <x:c r="H117" s="12" t="n">
        <x:v>31</x:v>
      </x:c>
      <x:c r="I117" s="34" t="n">
        <x:v>6.24</x:v>
      </x:c>
      <x:c r="J117" s="34" t="n">
        <x:v>28.2</x:v>
      </x:c>
      <x:c r="K117" s="34" t="n">
        <x:v>172.83</x:v>
      </x:c>
      <x:c r="L117" s="34" t="n">
        <x:v>6.13</x:v>
      </x:c>
      <x:c r="M117" s="34" t="n">
        <x:v>464.8719872620497</x:v>
      </x:c>
      <x:c r="N117" s="34" t="n">
        <x:v>15.626137976944134</x:v>
      </x:c>
      <x:c r="O117" s="34" t="n">
        <x:v>1.6792979687739182</x:v>
      </x:c>
      <x:c r="P117" s="34" t="n">
        <x:v>22.77916717529297</x:v>
      </x:c>
      <x:c r="Q117" s="12" t="n">
        <x:v>1637</x:v>
      </x:c>
      <x:c r="R117" s="34" t="n">
        <x:v>161.63024306840623</x:v>
      </x:c>
      <x:c r="S117" s="34" t="n">
        <x:v>2236.290076107243</x:v>
      </x:c>
      <x:c r="T117" s="2"/>
      <x:c r="U117" s="2"/>
      <x:c r="V117" s="2"/>
    </x:row>
    <x:row r="118" ht="24" customHeight="1">
      <x:c r="A118" s="2" t="str">
        <x:v>GQ94</x:v>
      </x:c>
      <x:c r="B118" s="2" t="str">
        <x:v>GQ</x:v>
      </x:c>
      <x:c r="C118" s="19" t="n">
        <x:v>0.768</x:v>
      </x:c>
      <x:c r="D118" s="19" t="n">
        <x:v>71</x:v>
      </x:c>
      <x:c r="E118" s="19" t="n">
        <x:v>102.99</x:v>
      </x:c>
      <x:c r="F118" s="38" t="n">
        <x:v>21.611934149</x:v>
      </x:c>
      <x:c r="G118" s="38" t="n">
        <x:v>109.679170876</x:v>
      </x:c>
      <x:c r="H118" s="11" t="n">
        <x:v>25</x:v>
      </x:c>
      <x:c r="I118" s="19" t="n">
        <x:v>6.23</x:v>
      </x:c>
      <x:c r="J118" s="19" t="n">
        <x:v>24.14</x:v>
      </x:c>
      <x:c r="K118" s="19" t="n">
        <x:v>121.89</x:v>
      </x:c>
      <x:c r="L118" s="19" t="n">
        <x:v>5.05</x:v>
      </x:c>
      <x:c r="M118" s="19" t="n">
        <x:v>461.857079190156</x:v>
      </x:c>
      <x:c r="N118" s="19" t="n">
        <x:v>16.2326809865456</x:v>
      </x:c>
      <x:c r="O118" s="19" t="n">
        <x:v>2.006045556382088</x:v>
      </x:c>
      <x:c r="P118" s="19" t="n">
        <x:v>22.77916717529297</x:v>
      </x:c>
      <x:c r="Q118" s="11" t="n">
        <x:v>1637</x:v>
      </x:c>
      <x:c r="R118" s="19" t="n">
        <x:v>105.73818385518118</x:v>
      </x:c>
      <x:c r="S118" s="19" t="n">
        <x:v>2165.7607778670113</x:v>
      </x:c>
      <x:c r="T118" s="2"/>
      <x:c r="U118" s="2"/>
      <x:c r="V118" s="2"/>
    </x:row>
    <x:row r="119" ht="24" customHeight="1">
      <x:c r="A119" s="10" t="str">
        <x:v>GQ95</x:v>
      </x:c>
      <x:c r="B119" s="10" t="str">
        <x:v>GQ</x:v>
      </x:c>
      <x:c r="C119" s="34" t="n">
        <x:v>0.759</x:v>
      </x:c>
      <x:c r="D119" s="34" t="n">
        <x:v>71.37</x:v>
      </x:c>
      <x:c r="E119" s="34" t="n">
        <x:v>89.8</x:v>
      </x:c>
      <x:c r="F119" s="39" t="n">
        <x:v>21.612056523</x:v>
      </x:c>
      <x:c r="G119" s="39" t="n">
        <x:v>109.67837503</x:v>
      </x:c>
      <x:c r="H119" s="12" t="n">
        <x:v>25</x:v>
      </x:c>
      <x:c r="I119" s="34" t="n">
        <x:v>6.35</x:v>
      </x:c>
      <x:c r="J119" s="34" t="n">
        <x:v>22.38</x:v>
      </x:c>
      <x:c r="K119" s="34" t="n">
        <x:v>108.52</x:v>
      </x:c>
      <x:c r="L119" s="34" t="n">
        <x:v>4.85</x:v>
      </x:c>
      <x:c r="M119" s="34" t="n">
        <x:v>454.99914391986266</x:v>
      </x:c>
      <x:c r="N119" s="34" t="n">
        <x:v>19.852313432263333</x:v>
      </x:c>
      <x:c r="O119" s="34" t="n">
        <x:v>2.1763761778457065</x:v>
      </x:c>
      <x:c r="P119" s="34" t="n">
        <x:v>22.77916717529297</x:v>
      </x:c>
      <x:c r="Q119" s="12" t="n">
        <x:v>1637</x:v>
      </x:c>
      <x:c r="R119" s="34" t="n">
        <x:v>92.67824230196344</x:v>
      </x:c>
      <x:c r="S119" s="34" t="n">
        <x:v>2119.1011337030113</x:v>
      </x:c>
      <x:c r="T119" s="2"/>
      <x:c r="U119" s="2"/>
      <x:c r="V119" s="2"/>
    </x:row>
    <x:row r="120" ht="24" customHeight="1">
      <x:c r="A120" s="2" t="str">
        <x:v>GQ96</x:v>
      </x:c>
      <x:c r="B120" s="2" t="str">
        <x:v>GQ</x:v>
      </x:c>
      <x:c r="C120" s="19" t="n">
        <x:v>0.907</x:v>
      </x:c>
      <x:c r="D120" s="19" t="n">
        <x:v>65.78</x:v>
      </x:c>
      <x:c r="E120" s="19" t="n">
        <x:v>59.92</x:v>
      </x:c>
      <x:c r="F120" s="38" t="n">
        <x:v>21.613111637</x:v>
      </x:c>
      <x:c r="G120" s="38" t="n">
        <x:v>109.678162519</x:v>
      </x:c>
      <x:c r="H120" s="11" t="n">
        <x:v>26</x:v>
      </x:c>
      <x:c r="I120" s="19" t="n">
        <x:v>6.33</x:v>
      </x:c>
      <x:c r="J120" s="19" t="n">
        <x:v>26.1</x:v>
      </x:c>
      <x:c r="K120" s="19" t="n">
        <x:v>99.69</x:v>
      </x:c>
      <x:c r="L120" s="19" t="n">
        <x:v>3.82</x:v>
      </x:c>
      <x:c r="M120" s="19" t="n">
        <x:v>481.18877747812866</x:v>
      </x:c>
      <x:c r="N120" s="19" t="n">
        <x:v>16.813350804270733</x:v>
      </x:c>
      <x:c r="O120" s="19" t="n">
        <x:v>2.0536441690916765</x:v>
      </x:c>
      <x:c r="P120" s="19" t="n">
        <x:v>22.77916717529297</x:v>
      </x:c>
      <x:c r="Q120" s="11" t="n">
        <x:v>1637</x:v>
      </x:c>
      <x:c r="R120" s="19" t="n">
        <x:v>24.017396091811808</x:v>
      </x:c>
      <x:c r="S120" s="19" t="n">
        <x:v>2192.6432039021347</x:v>
      </x:c>
      <x:c r="T120" s="2"/>
      <x:c r="U120" s="2"/>
      <x:c r="V120" s="2"/>
    </x:row>
    <x:row r="121" ht="24" customHeight="1">
      <x:c r="A121" s="10" t="str">
        <x:v>GQ97</x:v>
      </x:c>
      <x:c r="B121" s="10" t="str">
        <x:v>GQ</x:v>
      </x:c>
      <x:c r="C121" s="34" t="n">
        <x:v>0.677</x:v>
      </x:c>
      <x:c r="D121" s="34" t="n">
        <x:v>74.46</x:v>
      </x:c>
      <x:c r="E121" s="34" t="n">
        <x:v>121.66</x:v>
      </x:c>
      <x:c r="F121" s="39" t="n">
        <x:v>21.665186466</x:v>
      </x:c>
      <x:c r="G121" s="39" t="n">
        <x:v>109.576097885</x:v>
      </x:c>
      <x:c r="H121" s="12" t="n">
        <x:v>30</x:v>
      </x:c>
      <x:c r="I121" s="34" t="n">
        <x:v>6.63</x:v>
      </x:c>
      <x:c r="J121" s="34" t="n">
        <x:v>24.12</x:v>
      </x:c>
      <x:c r="K121" s="34" t="n">
        <x:v>155.75</x:v>
      </x:c>
      <x:c r="L121" s="34" t="n">
        <x:v>6.46</x:v>
      </x:c>
      <x:c r="M121" s="34" t="n">
        <x:v>450.09336537524746</x:v>
      </x:c>
      <x:c r="N121" s="34" t="n">
        <x:v>18.9089573295849</x:v>
      </x:c>
      <x:c r="O121" s="34" t="n">
        <x:v>2.181500019551875</x:v>
      </x:c>
      <x:c r="P121" s="34" t="n">
        <x:v>22.504165649414062</x:v>
      </x:c>
      <x:c r="Q121" s="12" t="n">
        <x:v>1616</x:v>
      </x:c>
      <x:c r="R121" s="34" t="n">
        <x:v>163.54716829166264</x:v>
      </x:c>
      <x:c r="S121" s="34" t="n">
        <x:v>856.7835296469991</x:v>
      </x:c>
      <x:c r="T121" s="2"/>
      <x:c r="U121" s="2"/>
      <x:c r="V121" s="2"/>
    </x:row>
    <x:row r="122" ht="24" customHeight="1">
      <x:c r="A122" s="2" t="str">
        <x:v>GQ98</x:v>
      </x:c>
      <x:c r="B122" s="2" t="str">
        <x:v>GQ</x:v>
      </x:c>
      <x:c r="C122" s="19" t="n">
        <x:v>0.787</x:v>
      </x:c>
      <x:c r="D122" s="19" t="n">
        <x:v>70.31</x:v>
      </x:c>
      <x:c r="E122" s="19" t="n">
        <x:v>89.35</x:v>
      </x:c>
      <x:c r="F122" s="38" t="n">
        <x:v>21.665804118</x:v>
      </x:c>
      <x:c r="G122" s="38" t="n">
        <x:v>109.567613399</x:v>
      </x:c>
      <x:c r="H122" s="11" t="n">
        <x:v>26</x:v>
      </x:c>
      <x:c r="I122" s="19" t="n">
        <x:v>6.79</x:v>
      </x:c>
      <x:c r="J122" s="19" t="n">
        <x:v>21.69</x:v>
      </x:c>
      <x:c r="K122" s="19" t="n">
        <x:v>92.85</x:v>
      </x:c>
      <x:c r="L122" s="19" t="n">
        <x:v>4.28</x:v>
      </x:c>
      <x:c r="M122" s="19" t="n">
        <x:v>451.793740450152</x:v>
      </x:c>
      <x:c r="N122" s="19" t="n">
        <x:v>20.756297018715898</x:v>
      </x:c>
      <x:c r="O122" s="19" t="n">
        <x:v>2.43982020620899</x:v>
      </x:c>
      <x:c r="P122" s="19" t="n">
        <x:v>22.52916717529297</x:v>
      </x:c>
      <x:c r="Q122" s="11" t="n">
        <x:v>1625</x:v>
      </x:c>
      <x:c r="R122" s="19" t="n">
        <x:v>152.50798220343873</x:v>
      </x:c>
      <x:c r="S122" s="19" t="n">
        <x:v>346.75018467778153</x:v>
      </x:c>
      <x:c r="T122" s="2"/>
      <x:c r="U122" s="2"/>
      <x:c r="V122" s="2"/>
    </x:row>
    <x:row r="123" ht="24" customHeight="1">
      <x:c r="A123" s="10" t="str">
        <x:v>GQ99</x:v>
      </x:c>
      <x:c r="B123" s="10" t="str">
        <x:v>GQ</x:v>
      </x:c>
      <x:c r="C123" s="34" t="n">
        <x:v>0.625</x:v>
      </x:c>
      <x:c r="D123" s="34" t="n">
        <x:v>76.4</x:v>
      </x:c>
      <x:c r="E123" s="34" t="n">
        <x:v>111.1</x:v>
      </x:c>
      <x:c r="F123" s="39" t="n">
        <x:v>21.6659267430001</x:v>
      </x:c>
      <x:c r="G123" s="39" t="n">
        <x:v>109.572467809</x:v>
      </x:c>
      <x:c r="H123" s="12" t="n">
        <x:v>30</x:v>
      </x:c>
      <x:c r="I123" s="34" t="n">
        <x:v>6.75</x:v>
      </x:c>
      <x:c r="J123" s="34" t="n">
        <x:v>21.48</x:v>
      </x:c>
      <x:c r="K123" s="34" t="n">
        <x:v>76.87</x:v>
      </x:c>
      <x:c r="L123" s="34" t="n">
        <x:v>3.58</x:v>
      </x:c>
      <x:c r="M123" s="34" t="n">
        <x:v>449.712085230615</x:v>
      </x:c>
      <x:c r="N123" s="34" t="n">
        <x:v>17.324888092161352</x:v>
      </x:c>
      <x:c r="O123" s="34" t="n">
        <x:v>1.815190388112065</x:v>
      </x:c>
      <x:c r="P123" s="34" t="n">
        <x:v>22.52916717529297</x:v>
      </x:c>
      <x:c r="Q123" s="12" t="n">
        <x:v>1625</x:v>
      </x:c>
      <x:c r="R123" s="34" t="n">
        <x:v>36.79822768896717</x:v>
      </x:c>
      <x:c r="S123" s="34" t="n">
        <x:v>495.7744406078212</x:v>
      </x:c>
      <x:c r="T123" s="2"/>
      <x:c r="U123" s="2"/>
      <x:c r="V123" s="2"/>
    </x:row>
    <x:row r="124" ht="24" customHeight="1">
      <x:c r="A124" s="2" t="str">
        <x:v>GQ100</x:v>
      </x:c>
      <x:c r="B124" s="2" t="str">
        <x:v>GQ</x:v>
      </x:c>
      <x:c r="C124" s="19" t="n">
        <x:v>1.041</x:v>
      </x:c>
      <x:c r="D124" s="19" t="n">
        <x:v>60.71</x:v>
      </x:c>
      <x:c r="E124" s="19" t="n">
        <x:v>66.15</x:v>
      </x:c>
      <x:c r="F124" s="38" t="n">
        <x:v>21.66607314</x:v>
      </x:c>
      <x:c r="G124" s="38" t="n">
        <x:v>109.569114317</x:v>
      </x:c>
      <x:c r="H124" s="11" t="n">
        <x:v>29</x:v>
      </x:c>
      <x:c r="I124" s="19" t="n">
        <x:v>6.39</x:v>
      </x:c>
      <x:c r="J124" s="19" t="n">
        <x:v>23.63</x:v>
      </x:c>
      <x:c r="K124" s="19" t="n">
        <x:v>54.02</x:v>
      </x:c>
      <x:c r="L124" s="19" t="n">
        <x:v>2.29</x:v>
      </x:c>
      <x:c r="M124" s="19" t="n">
        <x:v>452.30677929854596</x:v>
      </x:c>
      <x:c r="N124" s="19" t="n">
        <x:v>20.7654423466119</x:v>
      </x:c>
      <x:c r="O124" s="19" t="n">
        <x:v>1.81700860590793</x:v>
      </x:c>
      <x:c r="P124" s="19" t="n">
        <x:v>22.52916717529297</x:v>
      </x:c>
      <x:c r="Q124" s="11" t="n">
        <x:v>1625</x:v>
      </x:c>
      <x:c r="R124" s="19" t="n">
        <x:v>21.24948025423742</x:v>
      </x:c>
      <x:c r="S124" s="19" t="n">
        <x:v>298.7861788710368</x:v>
      </x:c>
      <x:c r="T124" s="2"/>
      <x:c r="U124" s="2"/>
      <x:c r="V124" s="2"/>
    </x:row>
    <x:row r="125" ht="24" customHeight="1">
      <x:c r="A125" s="10" t="str">
        <x:v>GQ101</x:v>
      </x:c>
      <x:c r="B125" s="10" t="str">
        <x:v>GQ</x:v>
      </x:c>
      <x:c r="C125" s="34" t="n">
        <x:v>1.284</x:v>
      </x:c>
      <x:c r="D125" s="34" t="n">
        <x:v>51.55</x:v>
      </x:c>
      <x:c r="E125" s="34" t="n">
        <x:v>43.32</x:v>
      </x:c>
      <x:c r="F125" s="39" t="n">
        <x:v>21.6662162550001</x:v>
      </x:c>
      <x:c r="G125" s="39" t="n">
        <x:v>109.574451957</x:v>
      </x:c>
      <x:c r="H125" s="12" t="n">
        <x:v>30</x:v>
      </x:c>
      <x:c r="I125" s="34" t="n">
        <x:v>6.72</x:v>
      </x:c>
      <x:c r="J125" s="34" t="n">
        <x:v>22.86</x:v>
      </x:c>
      <x:c r="K125" s="34" t="n">
        <x:v>62.01</x:v>
      </x:c>
      <x:c r="L125" s="34" t="n">
        <x:v>2.71</x:v>
      </x:c>
      <x:c r="M125" s="34" t="n">
        <x:v>412.212543554007</x:v>
      </x:c>
      <x:c r="N125" s="34" t="n">
        <x:v>23.0397350993378</x:v>
      </x:c>
      <x:c r="O125" s="34" t="n">
        <x:v>2.64298615291993</x:v>
      </x:c>
      <x:c r="P125" s="34" t="n">
        <x:v>22.52916717529297</x:v>
      </x:c>
      <x:c r="Q125" s="12" t="n">
        <x:v>1625</x:v>
      </x:c>
      <x:c r="R125" s="34" t="n">
        <x:v>38.196348586022694</x:v>
      </x:c>
      <x:c r="S125" s="34" t="n">
        <x:v>653.4535446796277</x:v>
      </x:c>
      <x:c r="T125" s="2"/>
      <x:c r="U125" s="2"/>
      <x:c r="V125" s="2"/>
    </x:row>
    <x:row r="126" ht="24" customHeight="1">
      <x:c r="A126" s="2" t="str">
        <x:v>GQ102</x:v>
      </x:c>
      <x:c r="B126" s="2" t="str">
        <x:v>GQ</x:v>
      </x:c>
      <x:c r="C126" s="19" t="n">
        <x:v>0.975</x:v>
      </x:c>
      <x:c r="D126" s="19" t="n">
        <x:v>63.2</x:v>
      </x:c>
      <x:c r="E126" s="19" t="n">
        <x:v>70.24</x:v>
      </x:c>
      <x:c r="F126" s="38" t="n">
        <x:v>21.666541985</x:v>
      </x:c>
      <x:c r="G126" s="38" t="n">
        <x:v>109.56690896</x:v>
      </x:c>
      <x:c r="H126" s="11" t="n">
        <x:v>30</x:v>
      </x:c>
      <x:c r="I126" s="19" t="n">
        <x:v>6.76</x:v>
      </x:c>
      <x:c r="J126" s="19" t="n">
        <x:v>21.66</x:v>
      </x:c>
      <x:c r="K126" s="19" t="n">
        <x:v>83.1</x:v>
      </x:c>
      <x:c r="L126" s="19" t="n">
        <x:v>3.84</x:v>
      </x:c>
      <x:c r="M126" s="19" t="n">
        <x:v>433.56750392464653</x:v>
      </x:c>
      <x:c r="N126" s="19" t="n">
        <x:v>18.160529683615948</x:v>
      </x:c>
      <x:c r="O126" s="19" t="n">
        <x:v>2.1481909287085053</x:v>
      </x:c>
      <x:c r="P126" s="19" t="n">
        <x:v>22.52916717529297</x:v>
      </x:c>
      <x:c r="Q126" s="11" t="n">
        <x:v>1625</x:v>
      </x:c>
      <x:c r="R126" s="19" t="n">
        <x:v>148.94713543315348</x:v>
      </x:c>
      <x:c r="S126" s="19" t="n">
        <x:v>309.967467868683</x:v>
      </x:c>
      <x:c r="T126" s="2"/>
      <x:c r="U126" s="2"/>
      <x:c r="V126" s="2"/>
    </x:row>
    <x:row r="127" ht="24" customHeight="1">
      <x:c r="A127" s="10" t="str">
        <x:v>GQ103</x:v>
      </x:c>
      <x:c r="B127" s="10" t="str">
        <x:v>GQ</x:v>
      </x:c>
      <x:c r="C127" s="34" t="n">
        <x:v>0.948</x:v>
      </x:c>
      <x:c r="D127" s="34" t="n">
        <x:v>64.22</x:v>
      </x:c>
      <x:c r="E127" s="34" t="n">
        <x:v>90.89</x:v>
      </x:c>
      <x:c r="F127" s="39" t="n">
        <x:v>21.6669334210001</x:v>
      </x:c>
      <x:c r="G127" s="39" t="n">
        <x:v>109.570276398</x:v>
      </x:c>
      <x:c r="H127" s="12" t="n">
        <x:v>30</x:v>
      </x:c>
      <x:c r="I127" s="34" t="n">
        <x:v>6.39</x:v>
      </x:c>
      <x:c r="J127" s="34" t="n">
        <x:v>21.34</x:v>
      </x:c>
      <x:c r="K127" s="34" t="n">
        <x:v>85.6</x:v>
      </x:c>
      <x:c r="L127" s="34" t="n">
        <x:v>4.01</x:v>
      </x:c>
      <x:c r="M127" s="34" t="n">
        <x:v>430.386554621849</x:v>
      </x:c>
      <x:c r="N127" s="34" t="n">
        <x:v>22.5280318091451</x:v>
      </x:c>
      <x:c r="O127" s="34" t="n">
        <x:v>2.70874751491054</x:v>
      </x:c>
      <x:c r="P127" s="34" t="n">
        <x:v>22.508333206176758</x:v>
      </x:c>
      <x:c r="Q127" s="12" t="n">
        <x:v>1623</x:v>
      </x:c>
      <x:c r="R127" s="34" t="n">
        <x:v>74.27762994653952</x:v>
      </x:c>
      <x:c r="S127" s="34" t="n">
        <x:v>255.76765917626832</x:v>
      </x:c>
      <x:c r="T127" s="2"/>
      <x:c r="U127" s="2"/>
      <x:c r="V127" s="2"/>
    </x:row>
    <x:row r="128" ht="24" customHeight="1">
      <x:c r="A128" s="2" t="str">
        <x:v>GQ104</x:v>
      </x:c>
      <x:c r="B128" s="2" t="str">
        <x:v>GQ</x:v>
      </x:c>
      <x:c r="C128" s="19" t="n">
        <x:v>0.911</x:v>
      </x:c>
      <x:c r="D128" s="19" t="n">
        <x:v>65.62</x:v>
      </x:c>
      <x:c r="E128" s="19" t="n">
        <x:v>86.59</x:v>
      </x:c>
      <x:c r="F128" s="38" t="n">
        <x:v>21.667332674</x:v>
      </x:c>
      <x:c r="G128" s="38" t="n">
        <x:v>109.571776162</x:v>
      </x:c>
      <x:c r="H128" s="11" t="n">
        <x:v>30</x:v>
      </x:c>
      <x:c r="I128" s="19" t="n">
        <x:v>5.86</x:v>
      </x:c>
      <x:c r="J128" s="19" t="n">
        <x:v>18.74</x:v>
      </x:c>
      <x:c r="K128" s="19" t="n">
        <x:v>69.04</x:v>
      </x:c>
      <x:c r="L128" s="19" t="n">
        <x:v>3.68</x:v>
      </x:c>
      <x:c r="M128" s="19" t="n">
        <x:v>442.2893709131697</x:v>
      </x:c>
      <x:c r="N128" s="19" t="n">
        <x:v>17.72707481701105</x:v>
      </x:c>
      <x:c r="O128" s="19" t="n">
        <x:v>1.79605287380599</x:v>
      </x:c>
      <x:c r="P128" s="19" t="n">
        <x:v>22.508333206176758</x:v>
      </x:c>
      <x:c r="Q128" s="11" t="n">
        <x:v>1623</x:v>
      </x:c>
      <x:c r="R128" s="19" t="n">
        <x:v>118.02430041591742</x:v>
      </x:c>
      <x:c r="S128" s="19" t="n">
        <x:v>350.33068496852286</x:v>
      </x:c>
      <x:c r="T128" s="2"/>
      <x:c r="U128" s="2"/>
      <x:c r="V128" s="2"/>
    </x:row>
    <x:row r="129" ht="24" customHeight="1">
      <x:c r="A129" s="10" t="str">
        <x:v>GQ105</x:v>
      </x:c>
      <x:c r="B129" s="10" t="str">
        <x:v>GQ</x:v>
      </x:c>
      <x:c r="C129" s="34" t="n">
        <x:v>0.646</x:v>
      </x:c>
      <x:c r="D129" s="34" t="n">
        <x:v>75.63</x:v>
      </x:c>
      <x:c r="E129" s="34" t="n">
        <x:v>102.85</x:v>
      </x:c>
      <x:c r="F129" s="39" t="n">
        <x:v>21.685558944</x:v>
      </x:c>
      <x:c r="G129" s="39" t="n">
        <x:v>109.52427718</x:v>
      </x:c>
      <x:c r="H129" s="12" t="n">
        <x:v>29</x:v>
      </x:c>
      <x:c r="I129" s="34" t="n">
        <x:v>6.65</x:v>
      </x:c>
      <x:c r="J129" s="34" t="n">
        <x:v>19.11</x:v>
      </x:c>
      <x:c r="K129" s="34" t="n">
        <x:v>58</x:v>
      </x:c>
      <x:c r="L129" s="34" t="n">
        <x:v>3.04</x:v>
      </x:c>
      <x:c r="M129" s="34" t="n">
        <x:v>451.10067535151495</x:v>
      </x:c>
      <x:c r="N129" s="34" t="n">
        <x:v>18.703374224478303</x:v>
      </x:c>
      <x:c r="O129" s="34" t="n">
        <x:v>2.504357021996615</x:v>
      </x:c>
      <x:c r="P129" s="34" t="n">
        <x:v>22.72083282470703</x:v>
      </x:c>
      <x:c r="Q129" s="12" t="n">
        <x:v>1632</x:v>
      </x:c>
      <x:c r="R129" s="34" t="n">
        <x:v>169.87714146788244</x:v>
      </x:c>
      <x:c r="S129" s="34" t="n">
        <x:v>1483.0593684707098</x:v>
      </x:c>
      <x:c r="T129" s="2"/>
      <x:c r="U129" s="2"/>
      <x:c r="V129" s="2"/>
    </x:row>
    <x:row r="130" ht="24" customHeight="1">
      <x:c r="A130" s="2" t="str">
        <x:v>GQ106</x:v>
      </x:c>
      <x:c r="B130" s="2" t="str">
        <x:v>GQ</x:v>
      </x:c>
      <x:c r="C130" s="19" t="n">
        <x:v>1.027</x:v>
      </x:c>
      <x:c r="D130" s="19" t="n">
        <x:v>61.24</x:v>
      </x:c>
      <x:c r="E130" s="19" t="n">
        <x:v>71.34</x:v>
      </x:c>
      <x:c r="F130" s="38" t="n">
        <x:v>21.6867189660001</x:v>
      </x:c>
      <x:c r="G130" s="38" t="n">
        <x:v>109.523568738</x:v>
      </x:c>
      <x:c r="H130" s="11" t="n">
        <x:v>25</x:v>
      </x:c>
      <x:c r="I130" s="19" t="n">
        <x:v>6.95</x:v>
      </x:c>
      <x:c r="J130" s="19" t="n">
        <x:v>17.79</x:v>
      </x:c>
      <x:c r="K130" s="19" t="n">
        <x:v>32.49</x:v>
      </x:c>
      <x:c r="L130" s="19" t="n">
        <x:v>1.83</x:v>
      </x:c>
      <x:c r="M130" s="19" t="n">
        <x:v>440.81777802454053</x:v>
      </x:c>
      <x:c r="N130" s="19" t="n">
        <x:v>21.565809597062348</x:v>
      </x:c>
      <x:c r="O130" s="19" t="n">
        <x:v>2.107334259626835</x:v>
      </x:c>
      <x:c r="P130" s="19" t="n">
        <x:v>22.72083282470703</x:v>
      </x:c>
      <x:c r="Q130" s="11" t="n">
        <x:v>1632</x:v>
      </x:c>
      <x:c r="R130" s="19" t="n">
        <x:v>188.37814079268105</x:v>
      </x:c>
      <x:c r="S130" s="19" t="n">
        <x:v>1336.3959938281553</x:v>
      </x:c>
      <x:c r="T130" s="2"/>
      <x:c r="U130" s="2"/>
      <x:c r="V130" s="2"/>
    </x:row>
    <x:row r="131" ht="24" customHeight="1">
      <x:c r="A131" s="10" t="str">
        <x:v>GQ107</x:v>
      </x:c>
      <x:c r="B131" s="10" t="str">
        <x:v>GQ</x:v>
      </x:c>
      <x:c r="C131" s="34" t="n">
        <x:v>1.165</x:v>
      </x:c>
      <x:c r="D131" s="34" t="n">
        <x:v>56.03</x:v>
      </x:c>
      <x:c r="E131" s="34" t="n">
        <x:v>57.07</x:v>
      </x:c>
      <x:c r="F131" s="39" t="n">
        <x:v>21.6877251130001</x:v>
      </x:c>
      <x:c r="G131" s="39" t="n">
        <x:v>109.523028994</x:v>
      </x:c>
      <x:c r="H131" s="12" t="n">
        <x:v>27</x:v>
      </x:c>
      <x:c r="I131" s="34" t="n">
        <x:v>6.92</x:v>
      </x:c>
      <x:c r="J131" s="34" t="n">
        <x:v>17.52</x:v>
      </x:c>
      <x:c r="K131" s="34" t="n">
        <x:v>48.91</x:v>
      </x:c>
      <x:c r="L131" s="34" t="n">
        <x:v>2.79</x:v>
      </x:c>
      <x:c r="M131" s="34" t="n">
        <x:v>411.637630662021</x:v>
      </x:c>
      <x:c r="N131" s="34" t="n">
        <x:v>25.7512953367876</x:v>
      </x:c>
      <x:c r="O131" s="34" t="n">
        <x:v>2.9119170984456</x:v>
      </x:c>
      <x:c r="P131" s="34" t="n">
        <x:v>22.72083282470703</x:v>
      </x:c>
      <x:c r="Q131" s="12" t="n">
        <x:v>1632</x:v>
      </x:c>
      <x:c r="R131" s="34" t="n">
        <x:v>222.21158337029823</x:v>
      </x:c>
      <x:c r="S131" s="34" t="n">
        <x:v>1212.239286075723</x:v>
      </x:c>
      <x:c r="T131" s="2"/>
      <x:c r="U131" s="2"/>
      <x:c r="V131" s="2"/>
    </x:row>
    <x:row r="132" ht="24" customHeight="1">
      <x:c r="A132" s="2" t="str">
        <x:v>GQ108</x:v>
      </x:c>
      <x:c r="B132" s="2" t="str">
        <x:v>GQ</x:v>
      </x:c>
      <x:c r="C132" s="19" t="n">
        <x:v>0.625</x:v>
      </x:c>
      <x:c r="D132" s="19" t="n">
        <x:v>76.43</x:v>
      </x:c>
      <x:c r="E132" s="19" t="n">
        <x:v>132.15</x:v>
      </x:c>
      <x:c r="F132" s="38" t="n">
        <x:v>21.6888834850001</x:v>
      </x:c>
      <x:c r="G132" s="38" t="n">
        <x:v>109.52223075</x:v>
      </x:c>
      <x:c r="H132" s="11" t="n">
        <x:v>29</x:v>
      </x:c>
      <x:c r="I132" s="19" t="n">
        <x:v>6.01</x:v>
      </x:c>
      <x:c r="J132" s="19" t="n">
        <x:v>20.44</x:v>
      </x:c>
      <x:c r="K132" s="19" t="n">
        <x:v>84.17</x:v>
      </x:c>
      <x:c r="L132" s="19" t="n">
        <x:v>4.12</x:v>
      </x:c>
      <x:c r="M132" s="19" t="n">
        <x:v>407.196428571429</x:v>
      </x:c>
      <x:c r="N132" s="19" t="n">
        <x:v>23.5344117647059</x:v>
      </x:c>
      <x:c r="O132" s="19" t="n">
        <x:v>2.6421568627451</x:v>
      </x:c>
      <x:c r="P132" s="19" t="n">
        <x:v>22.72083282470703</x:v>
      </x:c>
      <x:c r="Q132" s="11" t="n">
        <x:v>1632</x:v>
      </x:c>
      <x:c r="R132" s="19" t="n">
        <x:v>193.16792689051417</x:v>
      </x:c>
      <x:c r="S132" s="19" t="n">
        <x:v>1063.0915822833254</x:v>
      </x:c>
      <x:c r="T132" s="2"/>
      <x:c r="U132" s="2"/>
      <x:c r="V132" s="2"/>
    </x:row>
    <x:row r="133" ht="24" customHeight="1">
      <x:c r="A133" s="10" t="str">
        <x:v>GQ109</x:v>
      </x:c>
      <x:c r="B133" s="10" t="str">
        <x:v>GQ</x:v>
      </x:c>
      <x:c r="C133" s="34" t="n">
        <x:v>0.934</x:v>
      </x:c>
      <x:c r="D133" s="34" t="n">
        <x:v>64.77</x:v>
      </x:c>
      <x:c r="E133" s="34" t="n">
        <x:v>72.47</x:v>
      </x:c>
      <x:c r="F133" s="39" t="n">
        <x:v>21.6890747300001</x:v>
      </x:c>
      <x:c r="G133" s="39" t="n">
        <x:v>109.523501603</x:v>
      </x:c>
      <x:c r="H133" s="12" t="n">
        <x:v>30</x:v>
      </x:c>
      <x:c r="I133" s="34" t="n">
        <x:v>6.32</x:v>
      </x:c>
      <x:c r="J133" s="34" t="n">
        <x:v>24.27</x:v>
      </x:c>
      <x:c r="K133" s="34" t="n">
        <x:v>65.97</x:v>
      </x:c>
      <x:c r="L133" s="34" t="n">
        <x:v>2.72</x:v>
      </x:c>
      <x:c r="M133" s="34" t="n">
        <x:v>431.170698470169</x:v>
      </x:c>
      <x:c r="N133" s="34" t="n">
        <x:v>22.05202775563425</x:v>
      </x:c>
      <x:c r="O133" s="34" t="n">
        <x:v>2.24607720538609</x:v>
      </x:c>
      <x:c r="P133" s="34" t="n">
        <x:v>22.72083282470703</x:v>
      </x:c>
      <x:c r="Q133" s="12" t="n">
        <x:v>1632</x:v>
      </x:c>
      <x:c r="R133" s="34" t="n">
        <x:v>109.34714587702906</x:v>
      </x:c>
      <x:c r="S133" s="34" t="n">
        <x:v>1095.5745250953532</x:v>
      </x:c>
      <x:c r="T133" s="2"/>
      <x:c r="U133" s="2"/>
      <x:c r="V133" s="2"/>
    </x:row>
    <x:row r="134" ht="24" customHeight="1">
      <x:c r="A134" s="2" t="str">
        <x:v>GQ110</x:v>
      </x:c>
      <x:c r="B134" s="2" t="str">
        <x:v>GQ</x:v>
      </x:c>
      <x:c r="C134" s="19" t="n">
        <x:v>0.492</x:v>
      </x:c>
      <x:c r="D134" s="19" t="n">
        <x:v>81.45</x:v>
      </x:c>
      <x:c r="E134" s="19" t="n">
        <x:v>168.46</x:v>
      </x:c>
      <x:c r="F134" s="38" t="n">
        <x:v>21.6902977280001</x:v>
      </x:c>
      <x:c r="G134" s="38" t="n">
        <x:v>109.523792722</x:v>
      </x:c>
      <x:c r="H134" s="11" t="n">
        <x:v>28</x:v>
      </x:c>
      <x:c r="I134" s="19" t="n">
        <x:v>6.18</x:v>
      </x:c>
      <x:c r="J134" s="19" t="n">
        <x:v>20.98</x:v>
      </x:c>
      <x:c r="K134" s="19" t="n">
        <x:v>106.33</x:v>
      </x:c>
      <x:c r="L134" s="19" t="n">
        <x:v>5.07</x:v>
      </x:c>
      <x:c r="M134" s="19" t="n">
        <x:v>405.983193277311</x:v>
      </x:c>
      <x:c r="N134" s="19" t="n">
        <x:v>23.6460869565217</x:v>
      </x:c>
      <x:c r="O134" s="19" t="n">
        <x:v>2.85714285714286</x:v>
      </x:c>
      <x:c r="P134" s="19" t="n">
        <x:v>22.72083282470703</x:v>
      </x:c>
      <x:c r="Q134" s="11" t="n">
        <x:v>1632</x:v>
      </x:c>
      <x:c r="R134" s="19" t="n">
        <x:v>33.86418406221927</x:v>
      </x:c>
      <x:c r="S134" s="19" t="n">
        <x:v>991.9643574104247</x:v>
      </x:c>
      <x:c r="T134" s="2"/>
      <x:c r="U134" s="2"/>
      <x:c r="V134" s="2"/>
    </x:row>
    <x:row r="135" ht="24" customHeight="1">
      <x:c r="A135" s="10" t="str">
        <x:v>GQ111</x:v>
      </x:c>
      <x:c r="B135" s="10" t="str">
        <x:v>GQ</x:v>
      </x:c>
      <x:c r="C135" s="34" t="n">
        <x:v>0.661</x:v>
      </x:c>
      <x:c r="D135" s="34" t="n">
        <x:v>75.05</x:v>
      </x:c>
      <x:c r="E135" s="34" t="n">
        <x:v>123.8</x:v>
      </x:c>
      <x:c r="F135" s="39" t="n">
        <x:v>21.691697318</x:v>
      </x:c>
      <x:c r="G135" s="39" t="n">
        <x:v>109.523645036</x:v>
      </x:c>
      <x:c r="H135" s="12" t="n">
        <x:v>30</x:v>
      </x:c>
      <x:c r="I135" s="34" t="n">
        <x:v>6.52</x:v>
      </x:c>
      <x:c r="J135" s="34" t="n">
        <x:v>24.27</x:v>
      </x:c>
      <x:c r="K135" s="34" t="n">
        <x:v>92.64</x:v>
      </x:c>
      <x:c r="L135" s="34" t="n">
        <x:v>3.82</x:v>
      </x:c>
      <x:c r="M135" s="34" t="n">
        <x:v>416.521008403361</x:v>
      </x:c>
      <x:c r="N135" s="34" t="n">
        <x:v>23.0171526586621</x:v>
      </x:c>
      <x:c r="O135" s="34" t="n">
        <x:v>2.3956546598056</x:v>
      </x:c>
      <x:c r="P135" s="34" t="n">
        <x:v>22.72083282470703</x:v>
      </x:c>
      <x:c r="Q135" s="12" t="n">
        <x:v>1632</x:v>
      </x:c>
      <x:c r="R135" s="34" t="n">
        <x:v>5.646231961264393</x:v>
      </x:c>
      <x:c r="S135" s="34" t="n">
        <x:v>854.8781482739281</x:v>
      </x:c>
      <x:c r="T135" s="2"/>
      <x:c r="U135" s="2"/>
      <x:c r="V135" s="2"/>
    </x:row>
    <x:row r="136" ht="24" customHeight="1">
      <x:c r="A136" s="2" t="str">
        <x:v>GQ112</x:v>
      </x:c>
      <x:c r="B136" s="2" t="str">
        <x:v>GQ</x:v>
      </x:c>
      <x:c r="C136" s="19" t="n">
        <x:v>0.539</x:v>
      </x:c>
      <x:c r="D136" s="19" t="n">
        <x:v>79.66</x:v>
      </x:c>
      <x:c r="E136" s="19" t="n">
        <x:v>148.65</x:v>
      </x:c>
      <x:c r="F136" s="38" t="n">
        <x:v>21.6923692350001</x:v>
      </x:c>
      <x:c r="G136" s="38" t="n">
        <x:v>109.523634538</x:v>
      </x:c>
      <x:c r="H136" s="11" t="n">
        <x:v>30</x:v>
      </x:c>
      <x:c r="I136" s="19" t="n">
        <x:v>6.44</x:v>
      </x:c>
      <x:c r="J136" s="19" t="n">
        <x:v>23</x:v>
      </x:c>
      <x:c r="K136" s="19" t="n">
        <x:v>103.63</x:v>
      </x:c>
      <x:c r="L136" s="19" t="n">
        <x:v>4.5</x:v>
      </x:c>
      <x:c r="M136" s="19" t="n">
        <x:v>434.05255957131453</x:v>
      </x:c>
      <x:c r="N136" s="19" t="n">
        <x:v>18.3701814779508</x:v>
      </x:c>
      <x:c r="O136" s="19" t="n">
        <x:v>1.755776476462845</x:v>
      </x:c>
      <x:c r="P136" s="19" t="n">
        <x:v>22.72083282470703</x:v>
      </x:c>
      <x:c r="Q136" s="11" t="n">
        <x:v>1632</x:v>
      </x:c>
      <x:c r="R136" s="19" t="n">
        <x:v>44.360068595264536</x:v>
      </x:c>
      <x:c r="S136" s="19" t="n">
        <x:v>795.4759737004933</x:v>
      </x:c>
      <x:c r="T136" s="2"/>
      <x:c r="U136" s="2"/>
      <x:c r="V136" s="2"/>
    </x:row>
    <x:row r="137" ht="24" customHeight="1">
      <x:c r="A137" s="10" t="str">
        <x:v>GQ113</x:v>
      </x:c>
      <x:c r="B137" s="10" t="str">
        <x:v>GQ</x:v>
      </x:c>
      <x:c r="C137" s="34" t="n">
        <x:v>0.517</x:v>
      </x:c>
      <x:c r="D137" s="34" t="n">
        <x:v>80.49</x:v>
      </x:c>
      <x:c r="E137" s="34" t="n">
        <x:v>157.2</x:v>
      </x:c>
      <x:c r="F137" s="39" t="n">
        <x:v>21.703990176</x:v>
      </x:c>
      <x:c r="G137" s="39" t="n">
        <x:v>109.524911697</x:v>
      </x:c>
      <x:c r="H137" s="12" t="n">
        <x:v>25</x:v>
      </x:c>
      <x:c r="I137" s="34" t="n">
        <x:v>5.97</x:v>
      </x:c>
      <x:c r="J137" s="34" t="n">
        <x:v>19.04</x:v>
      </x:c>
      <x:c r="K137" s="34" t="n">
        <x:v>57.39</x:v>
      </x:c>
      <x:c r="L137" s="34" t="n">
        <x:v>3.01</x:v>
      </x:c>
      <x:c r="M137" s="34" t="n">
        <x:v>409.352262644188</x:v>
      </x:c>
      <x:c r="N137" s="34" t="n">
        <x:v>19.0779250720461</x:v>
      </x:c>
      <x:c r="O137" s="34" t="n">
        <x:v>2.72046109510087</x:v>
      </x:c>
      <x:c r="P137" s="34" t="n">
        <x:v>22.662500381469727</x:v>
      </x:c>
      <x:c r="Q137" s="12" t="n">
        <x:v>1635</x:v>
      </x:c>
      <x:c r="R137" s="34" t="n">
        <x:v>638.2862258282074</x:v>
      </x:c>
      <x:c r="S137" s="34" t="n">
        <x:v>926.7044354185618</x:v>
      </x:c>
      <x:c r="T137" s="2"/>
      <x:c r="U137" s="2"/>
      <x:c r="V137" s="2"/>
    </x:row>
    <x:row r="138" ht="24" customHeight="1">
      <x:c r="A138" s="2" t="str">
        <x:v>GQ114</x:v>
      </x:c>
      <x:c r="B138" s="2" t="str">
        <x:v>GQ</x:v>
      </x:c>
      <x:c r="C138" s="19" t="n">
        <x:v>0.635</x:v>
      </x:c>
      <x:c r="D138" s="19" t="n">
        <x:v>76.04</x:v>
      </x:c>
      <x:c r="E138" s="19" t="n">
        <x:v>147.28</x:v>
      </x:c>
      <x:c r="F138" s="38" t="n">
        <x:v>21.704352183</x:v>
      </x:c>
      <x:c r="G138" s="38" t="n">
        <x:v>109.523907279</x:v>
      </x:c>
      <x:c r="H138" s="11" t="n">
        <x:v>25</x:v>
      </x:c>
      <x:c r="I138" s="19" t="n">
        <x:v>6.3</x:v>
      </x:c>
      <x:c r="J138" s="19" t="n">
        <x:v>18.51</x:v>
      </x:c>
      <x:c r="K138" s="19" t="n">
        <x:v>49.25</x:v>
      </x:c>
      <x:c r="L138" s="19" t="n">
        <x:v>2.66</x:v>
      </x:c>
      <x:c r="M138" s="19" t="n">
        <x:v>412.906403940887</x:v>
      </x:c>
      <x:c r="N138" s="19" t="n">
        <x:v>23.7556077510276</x:v>
      </x:c>
      <x:c r="O138" s="19" t="n">
        <x:v>2.67175572519084</x:v>
      </x:c>
      <x:c r="P138" s="19" t="n">
        <x:v>22.662500381469727</x:v>
      </x:c>
      <x:c r="Q138" s="11" t="n">
        <x:v>1635</x:v>
      </x:c>
      <x:c r="R138" s="19" t="n">
        <x:v>579.5493844385029</x:v>
      </x:c>
      <x:c r="S138" s="19" t="n">
        <x:v>890.2620047839652</x:v>
      </x:c>
      <x:c r="T138" s="2"/>
      <x:c r="U138" s="2"/>
      <x:c r="V138" s="2"/>
    </x:row>
    <x:row r="139" ht="24" customHeight="1">
      <x:c r="A139" s="10" t="str">
        <x:v>GQ115</x:v>
      </x:c>
      <x:c r="B139" s="10" t="str">
        <x:v>GQ</x:v>
      </x:c>
      <x:c r="C139" s="34" t="n">
        <x:v>0.493</x:v>
      </x:c>
      <x:c r="D139" s="34" t="n">
        <x:v>81.4</x:v>
      </x:c>
      <x:c r="E139" s="34" t="n">
        <x:v>188.09</x:v>
      </x:c>
      <x:c r="F139" s="39" t="n">
        <x:v>21.7045408380001</x:v>
      </x:c>
      <x:c r="G139" s="39" t="n">
        <x:v>109.525920693</x:v>
      </x:c>
      <x:c r="H139" s="12" t="n">
        <x:v>26</x:v>
      </x:c>
      <x:c r="I139" s="34" t="n">
        <x:v>6.08</x:v>
      </x:c>
      <x:c r="J139" s="34" t="n">
        <x:v>19.06</x:v>
      </x:c>
      <x:c r="K139" s="34" t="n">
        <x:v>72.88</x:v>
      </x:c>
      <x:c r="L139" s="34" t="n">
        <x:v>3.82</x:v>
      </x:c>
      <x:c r="M139" s="34" t="n">
        <x:v>441.654135338346</x:v>
      </x:c>
      <x:c r="N139" s="34" t="n">
        <x:v>18.3465564738292</x:v>
      </x:c>
      <x:c r="O139" s="34" t="n">
        <x:v>2.7603305785124</x:v>
      </x:c>
      <x:c r="P139" s="34" t="n">
        <x:v>22.662500381469727</x:v>
      </x:c>
      <x:c r="Q139" s="12" t="n">
        <x:v>1635</x:v>
      </x:c>
      <x:c r="R139" s="34" t="n">
        <x:v>617.7112247434093</x:v>
      </x:c>
      <x:c r="S139" s="34" t="n">
        <x:v>1043.3342970880415</x:v>
      </x:c>
      <x:c r="T139" s="2"/>
      <x:c r="U139" s="2"/>
      <x:c r="V139" s="2"/>
    </x:row>
    <x:row r="140" ht="24" customHeight="1">
      <x:c r="A140" s="2" t="str">
        <x:v>GQ116</x:v>
      </x:c>
      <x:c r="B140" s="2" t="str">
        <x:v>GQ</x:v>
      </x:c>
      <x:c r="C140" s="19" t="n">
        <x:v>0.456</x:v>
      </x:c>
      <x:c r="D140" s="19" t="n">
        <x:v>82.8</x:v>
      </x:c>
      <x:c r="E140" s="19" t="n">
        <x:v>161.08</x:v>
      </x:c>
      <x:c r="F140" s="38" t="n">
        <x:v>21.705131248</x:v>
      </x:c>
      <x:c r="G140" s="38" t="n">
        <x:v>109.526927329</x:v>
      </x:c>
      <x:c r="H140" s="11" t="n">
        <x:v>27</x:v>
      </x:c>
      <x:c r="I140" s="19" t="n">
        <x:v>6.18</x:v>
      </x:c>
      <x:c r="J140" s="19" t="n">
        <x:v>19.21</x:v>
      </x:c>
      <x:c r="K140" s="19" t="n">
        <x:v>77.7</x:v>
      </x:c>
      <x:c r="L140" s="19" t="n">
        <x:v>4.04</x:v>
      </x:c>
      <x:c r="M140" s="19" t="n">
        <x:v>433.392857142857</x:v>
      </x:c>
      <x:c r="N140" s="19" t="n">
        <x:v>21.868</x:v>
      </x:c>
      <x:c r="O140" s="19" t="n">
        <x:v>2.73157894736842</x:v>
      </x:c>
      <x:c r="P140" s="19" t="n">
        <x:v>22.662500381469727</x:v>
      </x:c>
      <x:c r="Q140" s="11" t="n">
        <x:v>1635</x:v>
      </x:c>
      <x:c r="R140" s="19" t="n">
        <x:v>616.799779643518</x:v>
      </x:c>
      <x:c r="S140" s="19" t="n">
        <x:v>1163.6753166663586</x:v>
      </x:c>
      <x:c r="T140" s="2"/>
      <x:c r="U140" s="2"/>
      <x:c r="V140" s="2"/>
    </x:row>
    <x:row r="141" ht="24" customHeight="1">
      <x:c r="A141" s="10" t="str">
        <x:v>GQ117</x:v>
      </x:c>
      <x:c r="B141" s="10" t="str">
        <x:v>GQ</x:v>
      </x:c>
      <x:c r="C141" s="34" t="n">
        <x:v>0.784</x:v>
      </x:c>
      <x:c r="D141" s="34" t="n">
        <x:v>70.41</x:v>
      </x:c>
      <x:c r="E141" s="34" t="n">
        <x:v>101.48</x:v>
      </x:c>
      <x:c r="F141" s="39" t="n">
        <x:v>21.705852529</x:v>
      </x:c>
      <x:c r="G141" s="39" t="n">
        <x:v>109.522888557</x:v>
      </x:c>
      <x:c r="H141" s="12" t="n">
        <x:v>26</x:v>
      </x:c>
      <x:c r="I141" s="34" t="n">
        <x:v>6.14</x:v>
      </x:c>
      <x:c r="J141" s="34" t="n">
        <x:v>17.68</x:v>
      </x:c>
      <x:c r="K141" s="34" t="n">
        <x:v>64.08</x:v>
      </x:c>
      <x:c r="L141" s="34" t="n">
        <x:v>3.62</x:v>
      </x:c>
      <x:c r="M141" s="34" t="n">
        <x:v>419.571428571429</x:v>
      </x:c>
      <x:c r="N141" s="34" t="n">
        <x:v>22.1337850045167</x:v>
      </x:c>
      <x:c r="O141" s="34" t="n">
        <x:v>2.31255645889792</x:v>
      </x:c>
      <x:c r="P141" s="34" t="n">
        <x:v>22.662500381469727</x:v>
      </x:c>
      <x:c r="Q141" s="12" t="n">
        <x:v>1635</x:v>
      </x:c>
      <x:c r="R141" s="34" t="n">
        <x:v>410.76940215370416</x:v>
      </x:c>
      <x:c r="S141" s="34" t="n">
        <x:v>977.5097142432924</x:v>
      </x:c>
      <x:c r="T141" s="2"/>
      <x:c r="U141" s="2"/>
      <x:c r="V141" s="2"/>
    </x:row>
    <x:row r="142" ht="24" customHeight="1">
      <x:c r="A142" s="2" t="str">
        <x:v>GQ118</x:v>
      </x:c>
      <x:c r="B142" s="2" t="str">
        <x:v>GQ</x:v>
      </x:c>
      <x:c r="C142" s="19" t="n">
        <x:v>0.445</x:v>
      </x:c>
      <x:c r="D142" s="19" t="n">
        <x:v>83.21</x:v>
      </x:c>
      <x:c r="E142" s="19" t="n">
        <x:v>129.21</x:v>
      </x:c>
      <x:c r="F142" s="38" t="n">
        <x:v>21.7069335960001</x:v>
      </x:c>
      <x:c r="G142" s="38" t="n">
        <x:v>109.522153022</x:v>
      </x:c>
      <x:c r="H142" s="11" t="n">
        <x:v>28</x:v>
      </x:c>
      <x:c r="I142" s="19" t="n">
        <x:v>6.52</x:v>
      </x:c>
      <x:c r="J142" s="19" t="n">
        <x:v>19.22</x:v>
      </x:c>
      <x:c r="K142" s="19" t="n">
        <x:v>67.54</x:v>
      </x:c>
      <x:c r="L142" s="19" t="n">
        <x:v>3.51</x:v>
      </x:c>
      <x:c r="M142" s="19" t="n">
        <x:v>449.9041765543425</x:v>
      </x:c>
      <x:c r="N142" s="19" t="n">
        <x:v>20.498893510763352</x:v>
      </x:c>
      <x:c r="O142" s="19" t="n">
        <x:v>2.19898523639273</x:v>
      </x:c>
      <x:c r="P142" s="19" t="n">
        <x:v>22.662500381469727</x:v>
      </x:c>
      <x:c r="Q142" s="11" t="n">
        <x:v>1635</x:v>
      </x:c>
      <x:c r="R142" s="19" t="n">
        <x:v>292.4266883015387</x:v>
      </x:c>
      <x:c r="S142" s="19" t="n">
        <x:v>1058.6881794613519</x:v>
      </x:c>
      <x:c r="T142" s="2"/>
      <x:c r="U142" s="2"/>
      <x:c r="V142" s="2"/>
    </x:row>
    <x:row r="143" ht="24" customHeight="1">
      <x:c r="A143" s="10" t="str">
        <x:v>GQ119</x:v>
      </x:c>
      <x:c r="B143" s="10" t="str">
        <x:v>GQ</x:v>
      </x:c>
      <x:c r="C143" s="34" t="n">
        <x:v>0.946</x:v>
      </x:c>
      <x:c r="D143" s="34" t="n">
        <x:v>64.29</x:v>
      </x:c>
      <x:c r="E143" s="34" t="n">
        <x:v>74.38</x:v>
      </x:c>
      <x:c r="F143" s="39" t="n">
        <x:v>21.708060222</x:v>
      </x:c>
      <x:c r="G143" s="39" t="n">
        <x:v>109.521353203</x:v>
      </x:c>
      <x:c r="H143" s="12" t="n">
        <x:v>26</x:v>
      </x:c>
      <x:c r="I143" s="34" t="n">
        <x:v>6.38</x:v>
      </x:c>
      <x:c r="J143" s="34" t="n">
        <x:v>17.9</x:v>
      </x:c>
      <x:c r="K143" s="34" t="n">
        <x:v>56.08</x:v>
      </x:c>
      <x:c r="L143" s="34" t="n">
        <x:v>3.13</x:v>
      </x:c>
      <x:c r="M143" s="34" t="n">
        <x:v>406.326530612245</x:v>
      </x:c>
      <x:c r="N143" s="34" t="n">
        <x:v>23.3056497175141</x:v>
      </x:c>
      <x:c r="O143" s="34" t="n">
        <x:v>2.26553672316384</x:v>
      </x:c>
      <x:c r="P143" s="34" t="n">
        <x:v>22.662500381469727</x:v>
      </x:c>
      <x:c r="Q143" s="12" t="n">
        <x:v>1635</x:v>
      </x:c>
      <x:c r="R143" s="34" t="n">
        <x:v>171.7097329343446</x:v>
      </x:c>
      <x:c r="S143" s="34" t="n">
        <x:v>1155.0078374492055</x:v>
      </x:c>
      <x:c r="T143" s="2"/>
      <x:c r="U143" s="2"/>
      <x:c r="V143" s="2"/>
    </x:row>
    <x:row r="144" ht="24" customHeight="1">
      <x:c r="A144" s="2" t="str">
        <x:v>GQ120</x:v>
      </x:c>
      <x:c r="B144" s="2" t="str">
        <x:v>GQ</x:v>
      </x:c>
      <x:c r="C144" s="19" t="n">
        <x:v>1.129</x:v>
      </x:c>
      <x:c r="D144" s="19" t="n">
        <x:v>57.38</x:v>
      </x:c>
      <x:c r="E144" s="19" t="n">
        <x:v>50.54</x:v>
      </x:c>
      <x:c r="F144" s="38" t="n">
        <x:v>21.7087718600001</x:v>
      </x:c>
      <x:c r="G144" s="38" t="n">
        <x:v>109.520823569</x:v>
      </x:c>
      <x:c r="H144" s="11" t="n">
        <x:v>27</x:v>
      </x:c>
      <x:c r="I144" s="19" t="n">
        <x:v>6.59</x:v>
      </x:c>
      <x:c r="J144" s="19" t="n">
        <x:v>21.13</x:v>
      </x:c>
      <x:c r="K144" s="19" t="n">
        <x:v>62.62</x:v>
      </x:c>
      <x:c r="L144" s="19" t="n">
        <x:v>2.96</x:v>
      </x:c>
      <x:c r="M144" s="19" t="n">
        <x:v>430.756302521008</x:v>
      </x:c>
      <x:c r="N144" s="19" t="n">
        <x:v>22.0294782140936</x:v>
      </x:c>
      <x:c r="O144" s="19" t="n">
        <x:v>2.49058633674018</x:v>
      </x:c>
      <x:c r="P144" s="19" t="n">
        <x:v>22.60416603088379</x:v>
      </x:c>
      <x:c r="Q144" s="11" t="n">
        <x:v>1641</x:v>
      </x:c>
      <x:c r="R144" s="19" t="n">
        <x:v>125.22907278788885</x:v>
      </x:c>
      <x:c r="S144" s="19" t="n">
        <x:v>1220.956795528317</x:v>
      </x:c>
      <x:c r="T144" s="2"/>
      <x:c r="U144" s="2"/>
      <x:c r="V144" s="2"/>
    </x:row>
  </x:sheetData>
  <x:pageMargins left="0.7" right="0.7" top="0.75" bottom="0.75" header="0.3" footer="0.3"/>
</x:worksheet>
</file>